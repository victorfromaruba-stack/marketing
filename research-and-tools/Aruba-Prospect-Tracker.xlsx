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Prospects" sheetId="3" state="visible" r:id="rId5"/>
    <sheet name="Sectors" sheetId="4" state="visible" r:id="rId6"/>
    <sheet name="Send 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<sst xmlns="http://schemas.openxmlformats.org/spreadsheetml/2006/main" count="234" uniqueCount="194">
  <si>
    <t xml:space="preserve">ARUBA PROSPECT TRACKER</t>
  </si>
  <si>
    <t xml:space="preserve">Website sales pipeline — built August 2026</t>
  </si>
  <si>
    <t xml:space="preserve">HOW TO USE THIS FILE</t>
  </si>
  <si>
    <t xml:space="preserve">1.</t>
  </si>
  <si>
    <t xml:space="preserve">Fill in the 'Prospects' tab. Blue text = cells you type in. Row 4 is an example — delete it once you start.</t>
  </si>
  <si>
    <t xml:space="preserve">2.</t>
  </si>
  <si>
    <t xml:space="preserve">Log every business you find, WITH or WITHOUT a website. The ones with no site are your prospects; the full count is your Island Audit statistic.</t>
  </si>
  <si>
    <t xml:space="preserve">3.</t>
  </si>
  <si>
    <t xml:space="preserve">Use the dropdowns in Sector, District, Priority, Channel and Status — the Dashboard only counts correctly if you do.</t>
  </si>
  <si>
    <t xml:space="preserve">4.</t>
  </si>
  <si>
    <t xml:space="preserve">Update Status as you go. Log each touch date in the Touch 1-5 columns.</t>
  </si>
  <si>
    <t xml:space="preserve">5.</t>
  </si>
  <si>
    <t xml:space="preserve">The 'Dashboard' tab calculates itself. Check it every Friday.</t>
  </si>
  <si>
    <t xml:space="preserve">6.</t>
  </si>
  <si>
    <t xml:space="preserve">'Sectors' tab = your target priority list and the search terms to use on Google Maps.</t>
  </si>
  <si>
    <t xml:space="preserve">7.</t>
  </si>
  <si>
    <t xml:space="preserve">'Send Log' tab = daily email volume and deliverability. Watch the bounce rate — over 3% means stop and fix.</t>
  </si>
  <si>
    <t xml:space="preserve">THE TWO NUMBERS THAT MATTER MOST</t>
  </si>
  <si>
    <t xml:space="preserve">Reply rate</t>
  </si>
  <si>
    <t xml:space="preserve">Under 2% after 300 emails = your first line isn't specific enough, or you have no demo link, or you're in spam. Check in that order.</t>
  </si>
  <si>
    <t xml:space="preserve">Bounce rate</t>
  </si>
  <si>
    <t xml:space="preserve">Over 3% = stop sending immediately. Verify your list before you damage the sending domain.</t>
  </si>
  <si>
    <t xml:space="preserve">PRIORITY TIERS</t>
  </si>
  <si>
    <t xml:space="preserve">Tier A</t>
  </si>
  <si>
    <t xml:space="preserve">Tours, watersports, guesthouses, vacation rentals, non-strip restaurants. Build a real demo before emailing.</t>
  </si>
  <si>
    <t xml:space="preserve">Tier B</t>
  </si>
  <si>
    <t xml:space="preserve">Trades, contractors, auto services, professional services. Generic sector demo with their name dropped in.</t>
  </si>
  <si>
    <t xml:space="preserve">Tier C</t>
  </si>
  <si>
    <t xml:space="preserve">Retail, salons, gyms, everyone else. No demo — use a Google search screenshot instead.</t>
  </si>
  <si>
    <t xml:space="preserve">STATUS MEANINGS</t>
  </si>
  <si>
    <t xml:space="preserve">Not started</t>
  </si>
  <si>
    <t xml:space="preserve">Logged, not yet contacted</t>
  </si>
  <si>
    <t xml:space="preserve">Sequenced</t>
  </si>
  <si>
    <t xml:space="preserve">In the 5-touch email sequence</t>
  </si>
  <si>
    <t xml:space="preserve">Replied</t>
  </si>
  <si>
    <t xml:space="preserve">They responded — reply within 2 hours</t>
  </si>
  <si>
    <t xml:space="preserve">Meeting booked</t>
  </si>
  <si>
    <t xml:space="preserve">Get off email and into a room. This is the goal of every email.</t>
  </si>
  <si>
    <t xml:space="preserve">Proposal sent</t>
  </si>
  <si>
    <t xml:space="preserve">Showed them the three tiers</t>
  </si>
  <si>
    <t xml:space="preserve">Won</t>
  </si>
  <si>
    <t xml:space="preserve">Signed. Log deal value + monthly.</t>
  </si>
  <si>
    <t xml:space="preserve">Lost</t>
  </si>
  <si>
    <t xml:space="preserve">No, for now. Revisit in 6 months.</t>
  </si>
  <si>
    <t xml:space="preserve">Unsubscribed</t>
  </si>
  <si>
    <t xml:space="preserve">Asked to be removed. Never contact again.</t>
  </si>
  <si>
    <t xml:space="preserve">DASHBOARD</t>
  </si>
  <si>
    <t xml:space="preserve">Calculates automatically from the Prospects tab. Review every Friday.</t>
  </si>
  <si>
    <t xml:space="preserve">THE ISLAND AUDIT</t>
  </si>
  <si>
    <t xml:space="preserve">Businesses logged</t>
  </si>
  <si>
    <t xml:space="preserve">With no website</t>
  </si>
  <si>
    <t xml:space="preserve">% with no website</t>
  </si>
  <si>
    <t xml:space="preserve">&lt;-- this is your local statistic. Quote it in every pitch.</t>
  </si>
  <si>
    <t xml:space="preserve">Have a site but not mobile-friendly</t>
  </si>
  <si>
    <t xml:space="preserve">Rebuild prospects</t>
  </si>
  <si>
    <t xml:space="preserve">No Google Business Profile</t>
  </si>
  <si>
    <t xml:space="preserve">Fastest visible win you can sell</t>
  </si>
  <si>
    <t xml:space="preserve">PIPELINE</t>
  </si>
  <si>
    <t xml:space="preserve">In sequence</t>
  </si>
  <si>
    <t xml:space="preserve">Meetings booked</t>
  </si>
  <si>
    <t xml:space="preserve">Proposals sent</t>
  </si>
  <si>
    <t xml:space="preserve">WON</t>
  </si>
  <si>
    <t xml:space="preserve">Never contact again</t>
  </si>
  <si>
    <t xml:space="preserve">REVENUE</t>
  </si>
  <si>
    <t xml:space="preserve">Build fees won</t>
  </si>
  <si>
    <t xml:space="preserve">Monthly recurring won</t>
  </si>
  <si>
    <t xml:space="preserve">Annual recurring run-rate</t>
  </si>
  <si>
    <t xml:space="preserve">Total booked (yr 1)</t>
  </si>
  <si>
    <t xml:space="preserve">Avg build fee per client</t>
  </si>
  <si>
    <t xml:space="preserve">If under $500 you are discounting too hard</t>
  </si>
  <si>
    <t xml:space="preserve">CONVERSION</t>
  </si>
  <si>
    <t xml:space="preserve">Contacted (all touched)</t>
  </si>
  <si>
    <t xml:space="preserve">Benchmark 3.4%. Good is 6%+.</t>
  </si>
  <si>
    <t xml:space="preserve">Contacted -&gt; meeting</t>
  </si>
  <si>
    <t xml:space="preserve">Target 2-3%</t>
  </si>
  <si>
    <t xml:space="preserve">Meeting -&gt; won</t>
  </si>
  <si>
    <t xml:space="preserve">Target 30%. With a demo built, 50%+.</t>
  </si>
  <si>
    <t xml:space="preserve">BY PRIORITY TIER</t>
  </si>
  <si>
    <t xml:space="preserve">Tier A logged</t>
  </si>
  <si>
    <t xml:space="preserve">Tier B logged</t>
  </si>
  <si>
    <t xml:space="preserve">Tier C logged</t>
  </si>
  <si>
    <t xml:space="preserve">Tier A won</t>
  </si>
  <si>
    <t xml:space="preserve">BY SECTOR — where you are actually winning</t>
  </si>
  <si>
    <t xml:space="preserve">Sector</t>
  </si>
  <si>
    <t xml:space="preserve">Logged</t>
  </si>
  <si>
    <t xml:space="preserve">No site</t>
  </si>
  <si>
    <t xml:space="preserve">Tours &amp; Watersports</t>
  </si>
  <si>
    <t xml:space="preserve">Guesthouse / Rental</t>
  </si>
  <si>
    <t xml:space="preserve">Restaurant / Bar</t>
  </si>
  <si>
    <t xml:space="preserve">Food Truck</t>
  </si>
  <si>
    <t xml:space="preserve">Trades / Contractor</t>
  </si>
  <si>
    <t xml:space="preserve">Auto / Car Rental</t>
  </si>
  <si>
    <t xml:space="preserve">Professional Services</t>
  </si>
  <si>
    <t xml:space="preserve">Health / Clinic</t>
  </si>
  <si>
    <t xml:space="preserve">Retail / Boutique</t>
  </si>
  <si>
    <t xml:space="preserve">Salon / Barber</t>
  </si>
  <si>
    <t xml:space="preserve">Gym / Fitness</t>
  </si>
  <si>
    <t xml:space="preserve">Events / Wedding</t>
  </si>
  <si>
    <t xml:space="preserve">Other</t>
  </si>
  <si>
    <t xml:space="preserve">TOTAL</t>
  </si>
  <si>
    <t xml:space="preserve">PROSPECTS — blue text columns are for you to fill in</t>
  </si>
  <si>
    <t xml:space="preserve">Row 4 is an example. Delete it when you start.</t>
  </si>
  <si>
    <t xml:space="preserve">ID</t>
  </si>
  <si>
    <t xml:space="preserve">Business Name</t>
  </si>
  <si>
    <t xml:space="preserve">District</t>
  </si>
  <si>
    <t xml:space="preserve">Owner Name</t>
  </si>
  <si>
    <t xml:space="preserve">Phone / WhatsApp</t>
  </si>
  <si>
    <t xml:space="preserve">Email</t>
  </si>
  <si>
    <t xml:space="preserve">Facebook / IG</t>
  </si>
  <si>
    <t xml:space="preserve">Has Website?</t>
  </si>
  <si>
    <t xml:space="preserve">Mobile OK?</t>
  </si>
  <si>
    <t xml:space="preserve">Google Profile?</t>
  </si>
  <si>
    <t xml:space="preserve">Priority</t>
  </si>
  <si>
    <t xml:space="preserve">Demo Built?</t>
  </si>
  <si>
    <t xml:space="preserve">Demo Link</t>
  </si>
  <si>
    <t xml:space="preserve">Channel</t>
  </si>
  <si>
    <t xml:space="preserve">Touch 1</t>
  </si>
  <si>
    <t xml:space="preserve">Touch 2</t>
  </si>
  <si>
    <t xml:space="preserve">Touch 3</t>
  </si>
  <si>
    <t xml:space="preserve">Touch 4</t>
  </si>
  <si>
    <t xml:space="preserve">Touch 5</t>
  </si>
  <si>
    <t xml:space="preserve">Status</t>
  </si>
  <si>
    <t xml:space="preserve">Deal $</t>
  </si>
  <si>
    <t xml:space="preserve">Monthly $</t>
  </si>
  <si>
    <t xml:space="preserve">Notes</t>
  </si>
  <si>
    <t xml:space="preserve">Playa Snorkel Tours</t>
  </si>
  <si>
    <t xml:space="preserve">Noord</t>
  </si>
  <si>
    <t xml:space="preserve">Ricardo</t>
  </si>
  <si>
    <t xml:space="preserve">+297 593 1234</t>
  </si>
  <si>
    <t xml:space="preserve">info@playasnorkel.aw</t>
  </si>
  <si>
    <t xml:space="preserve">fb.com/playasnorkel</t>
  </si>
  <si>
    <t xml:space="preserve">No</t>
  </si>
  <si>
    <t xml:space="preserve">N/A</t>
  </si>
  <si>
    <t xml:space="preserve">Yes</t>
  </si>
  <si>
    <t xml:space="preserve">demo.mysite.com/playa</t>
  </si>
  <si>
    <t xml:space="preserve">2026-09-01</t>
  </si>
  <si>
    <t xml:space="preserve">2026-09-05</t>
  </si>
  <si>
    <t xml:space="preserve">2026-09-09</t>
  </si>
  <si>
    <t xml:space="preserve">Pays Viator 20% — lead with the commission argument</t>
  </si>
  <si>
    <t xml:space="preserve">TARGET SECTORS — ranked, with Google Maps search terms</t>
  </si>
  <si>
    <t xml:space="preserve">Work top to bottom. Tier A first — best ROI story, easiest close.</t>
  </si>
  <si>
    <t xml:space="preserve">Tier</t>
  </si>
  <si>
    <t xml:space="preserve">Why they buy</t>
  </si>
  <si>
    <t xml:space="preserve">Search terms for Google Maps</t>
  </si>
  <si>
    <t xml:space="preserve">Est. % with no site</t>
  </si>
  <si>
    <t xml:space="preserve">A</t>
  </si>
  <si>
    <t xml:space="preserve">Pays Viator/TripAdvisor 20-30% commission. One direct booking pays the year.</t>
  </si>
  <si>
    <t xml:space="preserve">snorkel tour aruba / UTV tour / sunset sail / dive shop / kitesurf / fishing charter</t>
  </si>
  <si>
    <t xml:space="preserve">High</t>
  </si>
  <si>
    <t xml:space="preserve">Pays Booking.com &amp; Airbnb 15-18%. Direct booking form is pure margin.</t>
  </si>
  <si>
    <t xml:space="preserve">guesthouse aruba / apartment rental aruba / vacation rental / B&amp;B</t>
  </si>
  <si>
    <t xml:space="preserve">Menu is a Facebook photo — Google can't read it. Tourists search 'restaurants near me'.</t>
  </si>
  <si>
    <t xml:space="preserve">restaurant oranjestad / bar noord / seafood aruba / local food aruba</t>
  </si>
  <si>
    <t xml:space="preserve">35-42%</t>
  </si>
  <si>
    <t xml:space="preserve">Location + hours change constantly. A live page beats a buried FB post.</t>
  </si>
  <si>
    <t xml:space="preserve">food truck aruba / snack aruba / truck di cuminda</t>
  </si>
  <si>
    <t xml:space="preserve">B</t>
  </si>
  <si>
    <t xml:space="preserve">Highest no-website rate anywhere. Locals search at 11pm when it breaks. Best retention.</t>
  </si>
  <si>
    <t xml:space="preserve">ac repair aruba / plumber aruba / electrician / pool service / roofing / solar</t>
  </si>
  <si>
    <t xml:space="preserve">45-56%</t>
  </si>
  <si>
    <t xml:space="preserve">Independents lose every tourist search to Hertz and Avis.</t>
  </si>
  <si>
    <t xml:space="preserve">car rental aruba / scooter rental / mechanic aruba / tyre shop / body shop</t>
  </si>
  <si>
    <t xml:space="preserve">38-51%</t>
  </si>
  <si>
    <t xml:space="preserve">Credibility is the product. 75% judge a business by its site. Highest ability to pay.</t>
  </si>
  <si>
    <t xml:space="preserve">accountant aruba / lawyer / notary / insurance broker / translator</t>
  </si>
  <si>
    <t xml:space="preserve">15-25%</t>
  </si>
  <si>
    <t xml:space="preserve">Same credibility argument. Slower sale, better client.</t>
  </si>
  <si>
    <t xml:space="preserve">dentist aruba / physio / vet aruba / clinic</t>
  </si>
  <si>
    <t xml:space="preserve">20-30%</t>
  </si>
  <si>
    <t xml:space="preserve">C</t>
  </si>
  <si>
    <t xml:space="preserve">Lower ticket, but visual and good for your portfolio.</t>
  </si>
  <si>
    <t xml:space="preserve">boutique aruba / gift shop / mini market / jewellery</t>
  </si>
  <si>
    <t xml:space="preserve">40-48%</t>
  </si>
  <si>
    <t xml:space="preserve">Price-sensitive and high churn — take them, don't chase them.</t>
  </si>
  <si>
    <t xml:space="preserve">salon aruba / barber aruba / nails / spa</t>
  </si>
  <si>
    <t xml:space="preserve">38-44%</t>
  </si>
  <si>
    <t xml:space="preserve">Class schedules and pricing pages sell themselves.</t>
  </si>
  <si>
    <t xml:space="preserve">gym aruba / crossfit / yoga aruba</t>
  </si>
  <si>
    <t xml:space="preserve">Medium</t>
  </si>
  <si>
    <t xml:space="preserve">Tourist-driven and high-ticket, but seasonal.</t>
  </si>
  <si>
    <t xml:space="preserve">wedding planner aruba / photographer aruba / event rental</t>
  </si>
  <si>
    <t xml:space="preserve">Skip: large resorts, AHATA hotel members, franchise/chain outlets, anything where the person you're emailing isn't the owner.</t>
  </si>
  <si>
    <t xml:space="preserve">'Est. % with no site' figures are global industry benchmarks, not Aruba-measured. Replace them with your own Island Audit numbers as you build the list.</t>
  </si>
  <si>
    <t xml:space="preserve">DAILY SEND LOG</t>
  </si>
  <si>
    <t xml:space="preserve">Log every sending day. Blue = you type it. Grey = calculated.</t>
  </si>
  <si>
    <t xml:space="preserve">Date</t>
  </si>
  <si>
    <t xml:space="preserve">Sent</t>
  </si>
  <si>
    <t xml:space="preserve">Bounced</t>
  </si>
  <si>
    <t xml:space="preserve">Replies</t>
  </si>
  <si>
    <t xml:space="preserve">Positive</t>
  </si>
  <si>
    <t xml:space="preserve">Bounce %</t>
  </si>
  <si>
    <t xml:space="preserve">Reply %</t>
  </si>
  <si>
    <t xml:space="preserve">STOP SENDING if bounce % goes over 3% or you get spam complaints. Verify the list, then restart slowly.</t>
  </si>
  <si>
    <t xml:space="preserve">Safe volume: 20-30/day for Aruba. Never exceed 100/day per mailbox; over 150/day raises spam rates 43%.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</si>
</sst>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\$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7"/>
    <col collapsed="false" customWidth="true" hidden="false" outlineLevel="0" max="3" min="3" style="0" width="105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  <c r="C5" s="4"/>
    </row>
    <row r="6" customFormat="false" ht="15" hidden="false" customHeight="false" outlineLevel="0" collapsed="false">
      <c r="B6" s="5" t="s">
        <v>2</v>
      </c>
    </row>
    <row r="7" customFormat="false" ht="15" hidden="false" customHeight="false" outlineLevel="0" collapsed="false">
      <c r="B7" s="3" t="s">
        <v>3</v>
      </c>
      <c r="C7" s="4" t="s">
        <v>4</v>
      </c>
    </row>
    <row r="8" customFormat="false" ht="23.85" hidden="false" customHeight="false" outlineLevel="0" collapsed="false">
      <c r="B8" s="3" t="s">
        <v>5</v>
      </c>
      <c r="C8" s="4" t="s">
        <v>6</v>
      </c>
    </row>
    <row r="9" customFormat="false" ht="15" hidden="false" customHeight="false" outlineLevel="0" collapsed="false">
      <c r="B9" s="3" t="s">
        <v>7</v>
      </c>
      <c r="C9" s="4" t="s">
        <v>8</v>
      </c>
    </row>
    <row r="10" customFormat="false" ht="15" hidden="false" customHeight="false" outlineLevel="0" collapsed="false">
      <c r="B10" s="3" t="s">
        <v>9</v>
      </c>
      <c r="C10" s="4" t="s">
        <v>10</v>
      </c>
    </row>
    <row r="11" customFormat="false" ht="15" hidden="false" customHeight="false" outlineLevel="0" collapsed="false">
      <c r="B11" s="3" t="s">
        <v>11</v>
      </c>
      <c r="C11" s="4" t="s">
        <v>12</v>
      </c>
    </row>
    <row r="12" customFormat="false" ht="15" hidden="false" customHeight="false" outlineLevel="0" collapsed="false">
      <c r="B12" s="3" t="s">
        <v>13</v>
      </c>
      <c r="C12" s="4" t="s">
        <v>14</v>
      </c>
    </row>
    <row r="13" customFormat="false" ht="15" hidden="false" customHeight="false" outlineLevel="0" collapsed="false">
      <c r="B13" s="3" t="s">
        <v>15</v>
      </c>
      <c r="C13" s="4" t="s">
        <v>16</v>
      </c>
    </row>
    <row r="14" customFormat="false" ht="15" hidden="false" customHeight="false" outlineLevel="0" collapsed="false">
      <c r="B14" s="3"/>
      <c r="C14" s="4"/>
    </row>
    <row r="15" customFormat="false" ht="15" hidden="false" customHeight="false" outlineLevel="0" collapsed="false">
      <c r="B15" s="5" t="s">
        <v>17</v>
      </c>
    </row>
    <row r="16" customFormat="false" ht="15" hidden="false" customHeight="false" outlineLevel="0" collapsed="false">
      <c r="B16" s="3" t="s">
        <v>18</v>
      </c>
      <c r="C16" s="4" t="s">
        <v>19</v>
      </c>
    </row>
    <row r="17" customFormat="false" ht="15" hidden="false" customHeight="false" outlineLevel="0" collapsed="false">
      <c r="B17" s="3" t="s">
        <v>20</v>
      </c>
      <c r="C17" s="4" t="s">
        <v>21</v>
      </c>
    </row>
    <row r="18" customFormat="false" ht="15" hidden="false" customHeight="false" outlineLevel="0" collapsed="false">
      <c r="B18" s="3"/>
      <c r="C18" s="4"/>
    </row>
    <row r="19" customFormat="false" ht="15" hidden="false" customHeight="false" outlineLevel="0" collapsed="false">
      <c r="B19" s="5" t="s">
        <v>22</v>
      </c>
    </row>
    <row r="20" customFormat="false" ht="15" hidden="false" customHeight="false" outlineLevel="0" collapsed="false">
      <c r="B20" s="3" t="s">
        <v>23</v>
      </c>
      <c r="C20" s="4" t="s">
        <v>24</v>
      </c>
    </row>
    <row r="21" customFormat="false" ht="15" hidden="false" customHeight="false" outlineLevel="0" collapsed="false">
      <c r="B21" s="3" t="s">
        <v>25</v>
      </c>
      <c r="C21" s="4" t="s">
        <v>26</v>
      </c>
    </row>
    <row r="22" customFormat="false" ht="15" hidden="false" customHeight="false" outlineLevel="0" collapsed="false">
      <c r="B22" s="3" t="s">
        <v>27</v>
      </c>
      <c r="C22" s="4" t="s">
        <v>28</v>
      </c>
    </row>
    <row r="23" customFormat="false" ht="15" hidden="false" customHeight="false" outlineLevel="0" collapsed="false">
      <c r="B23" s="3"/>
      <c r="C23" s="4"/>
    </row>
    <row r="24" customFormat="false" ht="15" hidden="false" customHeight="false" outlineLevel="0" collapsed="false">
      <c r="B24" s="5" t="s">
        <v>29</v>
      </c>
    </row>
    <row r="25" customFormat="false" ht="15" hidden="false" customHeight="false" outlineLevel="0" collapsed="false">
      <c r="B25" s="3" t="s">
        <v>30</v>
      </c>
      <c r="C25" s="4" t="s">
        <v>31</v>
      </c>
    </row>
    <row r="26" customFormat="false" ht="15" hidden="false" customHeight="false" outlineLevel="0" collapsed="false">
      <c r="B26" s="3" t="s">
        <v>32</v>
      </c>
      <c r="C26" s="4" t="s">
        <v>33</v>
      </c>
    </row>
    <row r="27" customFormat="false" ht="15" hidden="false" customHeight="false" outlineLevel="0" collapsed="false">
      <c r="B27" s="3" t="s">
        <v>34</v>
      </c>
      <c r="C27" s="4" t="s">
        <v>35</v>
      </c>
    </row>
    <row r="28" customFormat="false" ht="15" hidden="false" customHeight="false" outlineLevel="0" collapsed="false">
      <c r="B28" s="3" t="s">
        <v>36</v>
      </c>
      <c r="C28" s="4" t="s">
        <v>37</v>
      </c>
    </row>
    <row r="29" customFormat="false" ht="15" hidden="false" customHeight="false" outlineLevel="0" collapsed="false">
      <c r="B29" s="3" t="s">
        <v>38</v>
      </c>
      <c r="C29" s="4" t="s">
        <v>39</v>
      </c>
    </row>
    <row r="30" customFormat="false" ht="15" hidden="false" customHeight="false" outlineLevel="0" collapsed="false">
      <c r="B30" s="3" t="s">
        <v>40</v>
      </c>
      <c r="C30" s="4" t="s">
        <v>41</v>
      </c>
    </row>
    <row r="31" customFormat="false" ht="15" hidden="false" customHeight="false" outlineLevel="0" collapsed="false">
      <c r="B31" s="3" t="s">
        <v>42</v>
      </c>
      <c r="C31" s="4" t="s">
        <v>43</v>
      </c>
    </row>
    <row r="32" customFormat="false" ht="15" hidden="false" customHeight="false" outlineLevel="0" collapsed="false">
      <c r="B32" s="3" t="s">
        <v>44</v>
      </c>
      <c r="C32" s="4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52"/>
  </cols>
  <sheetData>
    <row r="2" customFormat="false" ht="22.05" hidden="false" customHeight="false" outlineLevel="0" collapsed="false">
      <c r="B2" s="1" t="s">
        <v>46</v>
      </c>
    </row>
    <row r="3" customFormat="false" ht="15" hidden="false" customHeight="false" outlineLevel="0" collapsed="false">
      <c r="B3" s="2" t="s">
        <v>47</v>
      </c>
    </row>
    <row r="5" customFormat="false" ht="15" hidden="false" customHeight="false" outlineLevel="0" collapsed="false">
      <c r="B5" s="6" t="s">
        <v>48</v>
      </c>
    </row>
    <row r="6" customFormat="false" ht="15" hidden="false" customHeight="false" outlineLevel="0" collapsed="false">
      <c r="B6" s="3" t="s">
        <v>49</v>
      </c>
      <c r="D6" s="7" t="n">
        <f aca="false">COUNTA(Prospects!B4:B800)</f>
        <v>1</v>
      </c>
    </row>
    <row r="7" customFormat="false" ht="15" hidden="false" customHeight="false" outlineLevel="0" collapsed="false">
      <c r="B7" s="3" t="s">
        <v>50</v>
      </c>
      <c r="D7" s="7" t="n">
        <f aca="false">COUNTIF(Prospects!I4:I800,"No")</f>
        <v>1</v>
      </c>
    </row>
    <row r="8" customFormat="false" ht="15" hidden="false" customHeight="false" outlineLevel="0" collapsed="false">
      <c r="B8" s="3" t="s">
        <v>51</v>
      </c>
      <c r="D8" s="8" t="n">
        <f aca="false">IFERROR(D7/D6,0)</f>
        <v>1</v>
      </c>
      <c r="E8" s="9" t="s">
        <v>52</v>
      </c>
    </row>
    <row r="9" customFormat="false" ht="15" hidden="false" customHeight="false" outlineLevel="0" collapsed="false">
      <c r="B9" s="3" t="s">
        <v>53</v>
      </c>
      <c r="D9" s="7" t="n">
        <f aca="false">COUNTIF(Prospects!J4:J800,"No")</f>
        <v>0</v>
      </c>
      <c r="E9" s="9" t="s">
        <v>54</v>
      </c>
    </row>
    <row r="10" customFormat="false" ht="15" hidden="false" customHeight="false" outlineLevel="0" collapsed="false">
      <c r="B10" s="3" t="s">
        <v>55</v>
      </c>
      <c r="D10" s="7" t="n">
        <f aca="false">COUNTIF(Prospects!K4:K800,"No")</f>
        <v>1</v>
      </c>
      <c r="E10" s="9" t="s">
        <v>56</v>
      </c>
    </row>
    <row r="12" customFormat="false" ht="15" hidden="false" customHeight="false" outlineLevel="0" collapsed="false">
      <c r="B12" s="6" t="s">
        <v>57</v>
      </c>
    </row>
    <row r="13" customFormat="false" ht="15" hidden="false" customHeight="false" outlineLevel="0" collapsed="false">
      <c r="B13" s="3" t="s">
        <v>30</v>
      </c>
      <c r="D13" s="7" t="n">
        <f aca="false">COUNTIF(Prospects!U4:U800,"Not started")</f>
        <v>0</v>
      </c>
    </row>
    <row r="14" customFormat="false" ht="15" hidden="false" customHeight="false" outlineLevel="0" collapsed="false">
      <c r="B14" s="3" t="s">
        <v>58</v>
      </c>
      <c r="D14" s="7" t="n">
        <f aca="false">COUNTIF(Prospects!U4:U800,"Sequenced")</f>
        <v>0</v>
      </c>
    </row>
    <row r="15" customFormat="false" ht="15" hidden="false" customHeight="false" outlineLevel="0" collapsed="false">
      <c r="B15" s="3" t="s">
        <v>34</v>
      </c>
      <c r="D15" s="7" t="n">
        <f aca="false">COUNTIF(Prospects!U4:U800,"Replied")</f>
        <v>1</v>
      </c>
    </row>
    <row r="16" customFormat="false" ht="15" hidden="false" customHeight="false" outlineLevel="0" collapsed="false">
      <c r="B16" s="3" t="s">
        <v>59</v>
      </c>
      <c r="D16" s="7" t="n">
        <f aca="false">COUNTIF(Prospects!U4:U800,"Meeting booked")</f>
        <v>0</v>
      </c>
    </row>
    <row r="17" customFormat="false" ht="15" hidden="false" customHeight="false" outlineLevel="0" collapsed="false">
      <c r="B17" s="3" t="s">
        <v>60</v>
      </c>
      <c r="D17" s="7" t="n">
        <f aca="false">COUNTIF(Prospects!U4:U800,"Proposal sent")</f>
        <v>0</v>
      </c>
    </row>
    <row r="18" customFormat="false" ht="15" hidden="false" customHeight="false" outlineLevel="0" collapsed="false">
      <c r="B18" s="10" t="s">
        <v>61</v>
      </c>
      <c r="D18" s="11" t="n">
        <f aca="false">COUNTIF(Prospects!U4:U800,"Won")</f>
        <v>0</v>
      </c>
    </row>
    <row r="19" customFormat="false" ht="15" hidden="false" customHeight="false" outlineLevel="0" collapsed="false">
      <c r="B19" s="3" t="s">
        <v>42</v>
      </c>
      <c r="D19" s="7" t="n">
        <f aca="false">COUNTIF(Prospects!U4:U800,"Lost")</f>
        <v>0</v>
      </c>
    </row>
    <row r="20" customFormat="false" ht="15" hidden="false" customHeight="false" outlineLevel="0" collapsed="false">
      <c r="B20" s="3" t="s">
        <v>44</v>
      </c>
      <c r="D20" s="7" t="n">
        <f aca="false">COUNTIF(Prospects!U4:U800,"Unsubscribed")</f>
        <v>0</v>
      </c>
      <c r="E20" s="9" t="s">
        <v>62</v>
      </c>
    </row>
    <row r="22" customFormat="false" ht="15" hidden="false" customHeight="false" outlineLevel="0" collapsed="false">
      <c r="B22" s="6" t="s">
        <v>63</v>
      </c>
    </row>
    <row r="23" customFormat="false" ht="15" hidden="false" customHeight="false" outlineLevel="0" collapsed="false">
      <c r="B23" s="3" t="s">
        <v>64</v>
      </c>
      <c r="D23" s="12" t="n">
        <f aca="false">SUMIF(Prospects!U4:U800,"Won",Prospects!V4:V800)</f>
        <v>0</v>
      </c>
    </row>
    <row r="24" customFormat="false" ht="15" hidden="false" customHeight="false" outlineLevel="0" collapsed="false">
      <c r="B24" s="3" t="s">
        <v>65</v>
      </c>
      <c r="D24" s="12" t="n">
        <f aca="false">SUMIF(Prospects!U4:U800,"Won",Prospects!W4:W800)</f>
        <v>0</v>
      </c>
    </row>
    <row r="25" customFormat="false" ht="15" hidden="false" customHeight="false" outlineLevel="0" collapsed="false">
      <c r="B25" s="3" t="s">
        <v>66</v>
      </c>
      <c r="D25" s="12" t="n">
        <f aca="false">D24*12</f>
        <v>0</v>
      </c>
    </row>
    <row r="26" customFormat="false" ht="15" hidden="false" customHeight="false" outlineLevel="0" collapsed="false">
      <c r="B26" s="3" t="s">
        <v>67</v>
      </c>
      <c r="D26" s="12" t="n">
        <f aca="false">D23+D25</f>
        <v>0</v>
      </c>
    </row>
    <row r="27" customFormat="false" ht="15" hidden="false" customHeight="false" outlineLevel="0" collapsed="false">
      <c r="B27" s="3" t="s">
        <v>68</v>
      </c>
      <c r="D27" s="12" t="n">
        <f aca="false">IFERROR(D23/D18,0)</f>
        <v>0</v>
      </c>
      <c r="E27" s="9" t="s">
        <v>69</v>
      </c>
    </row>
    <row r="29" customFormat="false" ht="15" hidden="false" customHeight="false" outlineLevel="0" collapsed="false">
      <c r="B29" s="6" t="s">
        <v>70</v>
      </c>
    </row>
    <row r="30" customFormat="false" ht="15" hidden="false" customHeight="false" outlineLevel="0" collapsed="false">
      <c r="B30" s="3" t="s">
        <v>71</v>
      </c>
      <c r="D30" s="7" t="n">
        <f aca="false">D6-D13</f>
        <v>1</v>
      </c>
    </row>
    <row r="31" customFormat="false" ht="15" hidden="false" customHeight="false" outlineLevel="0" collapsed="false">
      <c r="B31" s="3" t="s">
        <v>18</v>
      </c>
      <c r="D31" s="8" t="n">
        <f aca="false">IFERROR((D15+D16+D17+D18+D19)/D30,0)</f>
        <v>1</v>
      </c>
      <c r="E31" s="9" t="s">
        <v>72</v>
      </c>
    </row>
    <row r="32" customFormat="false" ht="15" hidden="false" customHeight="false" outlineLevel="0" collapsed="false">
      <c r="B32" s="3" t="s">
        <v>73</v>
      </c>
      <c r="D32" s="8" t="n">
        <f aca="false">IFERROR((D16+D17+D18)/D30,0)</f>
        <v>0</v>
      </c>
      <c r="E32" s="9" t="s">
        <v>74</v>
      </c>
    </row>
    <row r="33" customFormat="false" ht="15" hidden="false" customHeight="false" outlineLevel="0" collapsed="false">
      <c r="B33" s="3" t="s">
        <v>75</v>
      </c>
      <c r="D33" s="8" t="n">
        <f aca="false">IFERROR(D18/(D16+D17+D18+D19),0)</f>
        <v>0</v>
      </c>
      <c r="E33" s="9" t="s">
        <v>76</v>
      </c>
    </row>
    <row r="35" customFormat="false" ht="15" hidden="false" customHeight="false" outlineLevel="0" collapsed="false">
      <c r="B35" s="6" t="s">
        <v>77</v>
      </c>
    </row>
    <row r="36" customFormat="false" ht="15" hidden="false" customHeight="false" outlineLevel="0" collapsed="false">
      <c r="B36" s="3" t="s">
        <v>78</v>
      </c>
      <c r="D36" s="7" t="n">
        <f aca="false">COUNTIF(Prospects!L4:L800,"Tier A")</f>
        <v>1</v>
      </c>
    </row>
    <row r="37" customFormat="false" ht="15" hidden="false" customHeight="false" outlineLevel="0" collapsed="false">
      <c r="B37" s="3" t="s">
        <v>79</v>
      </c>
      <c r="D37" s="7" t="n">
        <f aca="false">COUNTIF(Prospects!L4:L800,"Tier B")</f>
        <v>0</v>
      </c>
    </row>
    <row r="38" customFormat="false" ht="15" hidden="false" customHeight="false" outlineLevel="0" collapsed="false">
      <c r="B38" s="3" t="s">
        <v>80</v>
      </c>
      <c r="D38" s="7" t="n">
        <f aca="false">COUNTIF(Prospects!L4:L800,"Tier C")</f>
        <v>0</v>
      </c>
    </row>
    <row r="39" customFormat="false" ht="15" hidden="false" customHeight="false" outlineLevel="0" collapsed="false">
      <c r="B39" s="3" t="s">
        <v>81</v>
      </c>
      <c r="D39" s="7" t="n">
        <f aca="false">COUNTIFS(Prospects!L4:L800,"Tier A",Prospects!U4:U800,"Won")</f>
        <v>0</v>
      </c>
    </row>
    <row r="41" customFormat="false" ht="15" hidden="false" customHeight="false" outlineLevel="0" collapsed="false">
      <c r="B41" s="6" t="s">
        <v>82</v>
      </c>
    </row>
    <row r="42" customFormat="false" ht="15" hidden="false" customHeight="false" outlineLevel="0" collapsed="false">
      <c r="B42" s="13" t="s">
        <v>83</v>
      </c>
      <c r="C42" s="13" t="s">
        <v>84</v>
      </c>
      <c r="D42" s="13" t="s">
        <v>85</v>
      </c>
      <c r="E42" s="13" t="s">
        <v>40</v>
      </c>
    </row>
    <row r="43" customFormat="false" ht="15" hidden="false" customHeight="false" outlineLevel="0" collapsed="false">
      <c r="B43" s="14" t="s">
        <v>86</v>
      </c>
      <c r="C43" s="15" t="n">
        <f aca="false">COUNTIF(Prospects!$C$4:$C$800,$B43)</f>
        <v>1</v>
      </c>
      <c r="D43" s="15" t="n">
        <f aca="false">COUNTIFS(Prospects!$C$4:$C$800,$B43,Prospects!$I$4:$I$800,"No")</f>
        <v>1</v>
      </c>
      <c r="E43" s="15" t="n">
        <f aca="false">COUNTIFS(Prospects!$C$4:$C$800,$B43,Prospects!$U$4:$U$800,"Won")</f>
        <v>0</v>
      </c>
    </row>
    <row r="44" customFormat="false" ht="15" hidden="false" customHeight="false" outlineLevel="0" collapsed="false">
      <c r="B44" s="14" t="s">
        <v>87</v>
      </c>
      <c r="C44" s="15" t="n">
        <f aca="false">COUNTIF(Prospects!$C$4:$C$800,$B44)</f>
        <v>0</v>
      </c>
      <c r="D44" s="15" t="n">
        <f aca="false">COUNTIFS(Prospects!$C$4:$C$800,$B44,Prospects!$I$4:$I$800,"No")</f>
        <v>0</v>
      </c>
      <c r="E44" s="15" t="n">
        <f aca="false">COUNTIFS(Prospects!$C$4:$C$800,$B44,Prospects!$U$4:$U$800,"Won")</f>
        <v>0</v>
      </c>
    </row>
    <row r="45" customFormat="false" ht="15" hidden="false" customHeight="false" outlineLevel="0" collapsed="false">
      <c r="B45" s="14" t="s">
        <v>88</v>
      </c>
      <c r="C45" s="15" t="n">
        <f aca="false">COUNTIF(Prospects!$C$4:$C$800,$B45)</f>
        <v>0</v>
      </c>
      <c r="D45" s="15" t="n">
        <f aca="false">COUNTIFS(Prospects!$C$4:$C$800,$B45,Prospects!$I$4:$I$800,"No")</f>
        <v>0</v>
      </c>
      <c r="E45" s="15" t="n">
        <f aca="false">COUNTIFS(Prospects!$C$4:$C$800,$B45,Prospects!$U$4:$U$800,"Won")</f>
        <v>0</v>
      </c>
    </row>
    <row r="46" customFormat="false" ht="15" hidden="false" customHeight="false" outlineLevel="0" collapsed="false">
      <c r="B46" s="14" t="s">
        <v>89</v>
      </c>
      <c r="C46" s="15" t="n">
        <f aca="false">COUNTIF(Prospects!$C$4:$C$800,$B46)</f>
        <v>0</v>
      </c>
      <c r="D46" s="15" t="n">
        <f aca="false">COUNTIFS(Prospects!$C$4:$C$800,$B46,Prospects!$I$4:$I$800,"No")</f>
        <v>0</v>
      </c>
      <c r="E46" s="15" t="n">
        <f aca="false">COUNTIFS(Prospects!$C$4:$C$800,$B46,Prospects!$U$4:$U$800,"Won")</f>
        <v>0</v>
      </c>
    </row>
    <row r="47" customFormat="false" ht="15" hidden="false" customHeight="false" outlineLevel="0" collapsed="false">
      <c r="B47" s="14" t="s">
        <v>90</v>
      </c>
      <c r="C47" s="15" t="n">
        <f aca="false">COUNTIF(Prospects!$C$4:$C$800,$B47)</f>
        <v>0</v>
      </c>
      <c r="D47" s="15" t="n">
        <f aca="false">COUNTIFS(Prospects!$C$4:$C$800,$B47,Prospects!$I$4:$I$800,"No")</f>
        <v>0</v>
      </c>
      <c r="E47" s="15" t="n">
        <f aca="false">COUNTIFS(Prospects!$C$4:$C$800,$B47,Prospects!$U$4:$U$800,"Won")</f>
        <v>0</v>
      </c>
    </row>
    <row r="48" customFormat="false" ht="15" hidden="false" customHeight="false" outlineLevel="0" collapsed="false">
      <c r="B48" s="14" t="s">
        <v>91</v>
      </c>
      <c r="C48" s="15" t="n">
        <f aca="false">COUNTIF(Prospects!$C$4:$C$800,$B48)</f>
        <v>0</v>
      </c>
      <c r="D48" s="15" t="n">
        <f aca="false">COUNTIFS(Prospects!$C$4:$C$800,$B48,Prospects!$I$4:$I$800,"No")</f>
        <v>0</v>
      </c>
      <c r="E48" s="15" t="n">
        <f aca="false">COUNTIFS(Prospects!$C$4:$C$800,$B48,Prospects!$U$4:$U$800,"Won")</f>
        <v>0</v>
      </c>
    </row>
    <row r="49" customFormat="false" ht="15" hidden="false" customHeight="false" outlineLevel="0" collapsed="false">
      <c r="B49" s="14" t="s">
        <v>92</v>
      </c>
      <c r="C49" s="15" t="n">
        <f aca="false">COUNTIF(Prospects!$C$4:$C$800,$B49)</f>
        <v>0</v>
      </c>
      <c r="D49" s="15" t="n">
        <f aca="false">COUNTIFS(Prospects!$C$4:$C$800,$B49,Prospects!$I$4:$I$800,"No")</f>
        <v>0</v>
      </c>
      <c r="E49" s="15" t="n">
        <f aca="false">COUNTIFS(Prospects!$C$4:$C$800,$B49,Prospects!$U$4:$U$800,"Won")</f>
        <v>0</v>
      </c>
    </row>
    <row r="50" customFormat="false" ht="15" hidden="false" customHeight="false" outlineLevel="0" collapsed="false">
      <c r="B50" s="14" t="s">
        <v>93</v>
      </c>
      <c r="C50" s="15" t="n">
        <f aca="false">COUNTIF(Prospects!$C$4:$C$800,$B50)</f>
        <v>0</v>
      </c>
      <c r="D50" s="15" t="n">
        <f aca="false">COUNTIFS(Prospects!$C$4:$C$800,$B50,Prospects!$I$4:$I$800,"No")</f>
        <v>0</v>
      </c>
      <c r="E50" s="15" t="n">
        <f aca="false">COUNTIFS(Prospects!$C$4:$C$800,$B50,Prospects!$U$4:$U$800,"Won")</f>
        <v>0</v>
      </c>
    </row>
    <row r="51" customFormat="false" ht="15" hidden="false" customHeight="false" outlineLevel="0" collapsed="false">
      <c r="B51" s="14" t="s">
        <v>94</v>
      </c>
      <c r="C51" s="15" t="n">
        <f aca="false">COUNTIF(Prospects!$C$4:$C$800,$B51)</f>
        <v>0</v>
      </c>
      <c r="D51" s="15" t="n">
        <f aca="false">COUNTIFS(Prospects!$C$4:$C$800,$B51,Prospects!$I$4:$I$800,"No")</f>
        <v>0</v>
      </c>
      <c r="E51" s="15" t="n">
        <f aca="false">COUNTIFS(Prospects!$C$4:$C$800,$B51,Prospects!$U$4:$U$800,"Won")</f>
        <v>0</v>
      </c>
    </row>
    <row r="52" customFormat="false" ht="15" hidden="false" customHeight="false" outlineLevel="0" collapsed="false">
      <c r="B52" s="14" t="s">
        <v>95</v>
      </c>
      <c r="C52" s="15" t="n">
        <f aca="false">COUNTIF(Prospects!$C$4:$C$800,$B52)</f>
        <v>0</v>
      </c>
      <c r="D52" s="15" t="n">
        <f aca="false">COUNTIFS(Prospects!$C$4:$C$800,$B52,Prospects!$I$4:$I$800,"No")</f>
        <v>0</v>
      </c>
      <c r="E52" s="15" t="n">
        <f aca="false">COUNTIFS(Prospects!$C$4:$C$800,$B52,Prospects!$U$4:$U$800,"Won")</f>
        <v>0</v>
      </c>
    </row>
    <row r="53" customFormat="false" ht="15" hidden="false" customHeight="false" outlineLevel="0" collapsed="false">
      <c r="B53" s="14" t="s">
        <v>96</v>
      </c>
      <c r="C53" s="15" t="n">
        <f aca="false">COUNTIF(Prospects!$C$4:$C$800,$B53)</f>
        <v>0</v>
      </c>
      <c r="D53" s="15" t="n">
        <f aca="false">COUNTIFS(Prospects!$C$4:$C$800,$B53,Prospects!$I$4:$I$800,"No")</f>
        <v>0</v>
      </c>
      <c r="E53" s="15" t="n">
        <f aca="false">COUNTIFS(Prospects!$C$4:$C$800,$B53,Prospects!$U$4:$U$800,"Won")</f>
        <v>0</v>
      </c>
    </row>
    <row r="54" customFormat="false" ht="15" hidden="false" customHeight="false" outlineLevel="0" collapsed="false">
      <c r="B54" s="14" t="s">
        <v>97</v>
      </c>
      <c r="C54" s="15" t="n">
        <f aca="false">COUNTIF(Prospects!$C$4:$C$800,$B54)</f>
        <v>0</v>
      </c>
      <c r="D54" s="15" t="n">
        <f aca="false">COUNTIFS(Prospects!$C$4:$C$800,$B54,Prospects!$I$4:$I$800,"No")</f>
        <v>0</v>
      </c>
      <c r="E54" s="15" t="n">
        <f aca="false">COUNTIFS(Prospects!$C$4:$C$800,$B54,Prospects!$U$4:$U$800,"Won")</f>
        <v>0</v>
      </c>
    </row>
    <row r="55" customFormat="false" ht="15" hidden="false" customHeight="false" outlineLevel="0" collapsed="false">
      <c r="B55" s="14" t="s">
        <v>98</v>
      </c>
      <c r="C55" s="15" t="n">
        <f aca="false">COUNTIF(Prospects!$C$4:$C$800,$B55)</f>
        <v>0</v>
      </c>
      <c r="D55" s="15" t="n">
        <f aca="false">COUNTIFS(Prospects!$C$4:$C$800,$B55,Prospects!$I$4:$I$800,"No")</f>
        <v>0</v>
      </c>
      <c r="E55" s="15" t="n">
        <f aca="false">COUNTIFS(Prospects!$C$4:$C$800,$B55,Prospects!$U$4:$U$800,"Won")</f>
        <v>0</v>
      </c>
    </row>
    <row r="56" customFormat="false" ht="15" hidden="false" customHeight="false" outlineLevel="0" collapsed="false">
      <c r="B56" s="3" t="s">
        <v>99</v>
      </c>
      <c r="C56" s="16" t="n">
        <f aca="false">SUM(C43:C55)</f>
        <v>1</v>
      </c>
      <c r="D56" s="16" t="n">
        <f aca="false">SUM(D43:D55)</f>
        <v>1</v>
      </c>
      <c r="E56" s="16" t="n">
        <f aca="false">SUM(E43:E55)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7"/>
    <col collapsed="false" customWidth="true" hidden="false" outlineLevel="0" max="7" min="7" style="0" width="26"/>
    <col collapsed="false" customWidth="true" hidden="false" outlineLevel="0" max="8" min="8" style="0" width="24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24"/>
    <col collapsed="false" customWidth="true" hidden="false" outlineLevel="0" max="15" min="15" style="0" width="14"/>
    <col collapsed="false" customWidth="true" hidden="false" outlineLevel="0" max="20" min="16" style="0" width="11"/>
    <col collapsed="false" customWidth="true" hidden="false" outlineLevel="0" max="21" min="21" style="0" width="16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40"/>
  </cols>
  <sheetData>
    <row r="1" customFormat="false" ht="15" hidden="false" customHeight="false" outlineLevel="0" collapsed="false">
      <c r="A1" s="6" t="s">
        <v>100</v>
      </c>
    </row>
    <row r="2" customFormat="false" ht="15" hidden="false" customHeight="false" outlineLevel="0" collapsed="false">
      <c r="A2" s="9" t="s">
        <v>101</v>
      </c>
    </row>
    <row r="3" customFormat="false" ht="30" hidden="false" customHeight="true" outlineLevel="0" collapsed="false">
      <c r="A3" s="17" t="s">
        <v>102</v>
      </c>
      <c r="B3" s="17" t="s">
        <v>103</v>
      </c>
      <c r="C3" s="17" t="s">
        <v>83</v>
      </c>
      <c r="D3" s="17" t="s">
        <v>104</v>
      </c>
      <c r="E3" s="17" t="s">
        <v>105</v>
      </c>
      <c r="F3" s="17" t="s">
        <v>106</v>
      </c>
      <c r="G3" s="17" t="s">
        <v>107</v>
      </c>
      <c r="H3" s="17" t="s">
        <v>108</v>
      </c>
      <c r="I3" s="17" t="s">
        <v>109</v>
      </c>
      <c r="J3" s="17" t="s">
        <v>110</v>
      </c>
      <c r="K3" s="17" t="s">
        <v>111</v>
      </c>
      <c r="L3" s="17" t="s">
        <v>112</v>
      </c>
      <c r="M3" s="17" t="s">
        <v>113</v>
      </c>
      <c r="N3" s="17" t="s">
        <v>114</v>
      </c>
      <c r="O3" s="17" t="s">
        <v>115</v>
      </c>
      <c r="P3" s="17" t="s">
        <v>116</v>
      </c>
      <c r="Q3" s="17" t="s">
        <v>117</v>
      </c>
      <c r="R3" s="17" t="s">
        <v>118</v>
      </c>
      <c r="S3" s="17" t="s">
        <v>119</v>
      </c>
      <c r="T3" s="17" t="s">
        <v>120</v>
      </c>
      <c r="U3" s="17" t="s">
        <v>121</v>
      </c>
      <c r="V3" s="17" t="s">
        <v>122</v>
      </c>
      <c r="W3" s="17" t="s">
        <v>123</v>
      </c>
      <c r="X3" s="17" t="s">
        <v>124</v>
      </c>
    </row>
    <row r="4" customFormat="false" ht="23.85" hidden="false" customHeight="false" outlineLevel="0" collapsed="false">
      <c r="A4" s="18" t="n">
        <v>1</v>
      </c>
      <c r="B4" s="18" t="s">
        <v>125</v>
      </c>
      <c r="C4" s="18" t="s">
        <v>86</v>
      </c>
      <c r="D4" s="18" t="s">
        <v>126</v>
      </c>
      <c r="E4" s="18" t="s">
        <v>127</v>
      </c>
      <c r="F4" s="18" t="s">
        <v>128</v>
      </c>
      <c r="G4" s="18" t="s">
        <v>129</v>
      </c>
      <c r="H4" s="18" t="s">
        <v>130</v>
      </c>
      <c r="I4" s="18" t="s">
        <v>131</v>
      </c>
      <c r="J4" s="18" t="s">
        <v>132</v>
      </c>
      <c r="K4" s="18" t="s">
        <v>131</v>
      </c>
      <c r="L4" s="18" t="s">
        <v>23</v>
      </c>
      <c r="M4" s="18" t="s">
        <v>133</v>
      </c>
      <c r="N4" s="18" t="s">
        <v>134</v>
      </c>
      <c r="O4" s="18" t="s">
        <v>107</v>
      </c>
      <c r="P4" s="18" t="s">
        <v>135</v>
      </c>
      <c r="Q4" s="18" t="s">
        <v>136</v>
      </c>
      <c r="R4" s="18" t="s">
        <v>137</v>
      </c>
      <c r="S4" s="18"/>
      <c r="T4" s="18"/>
      <c r="U4" s="18" t="s">
        <v>34</v>
      </c>
      <c r="V4" s="19" t="n">
        <v>500</v>
      </c>
      <c r="W4" s="19" t="n">
        <v>20</v>
      </c>
      <c r="X4" s="20" t="s">
        <v>138</v>
      </c>
    </row>
    <row r="5" customFormat="false" ht="15" hidden="false" customHeight="false" outlineLevel="0" collapsed="false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2"/>
      <c r="W5" s="22"/>
      <c r="X5" s="21"/>
    </row>
    <row r="6" customFormat="false" ht="15" hidden="false" customHeight="false" outlineLevel="0" collapsed="false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2"/>
      <c r="W6" s="22"/>
      <c r="X6" s="21"/>
    </row>
    <row r="7" customFormat="false" ht="15" hidden="false" customHeight="false" outlineLevel="0" collapsed="false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2"/>
      <c r="W7" s="22"/>
      <c r="X7" s="21"/>
    </row>
    <row r="8" customFormat="false" ht="15" hidden="false" customHeight="false" outlineLevel="0" collapsed="false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2"/>
      <c r="W8" s="22"/>
      <c r="X8" s="21"/>
    </row>
    <row r="9" customFormat="false" ht="15" hidden="false" customHeight="false" outlineLevel="0" collapsed="false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2"/>
      <c r="W9" s="22"/>
      <c r="X9" s="21"/>
    </row>
    <row r="10" customFormat="false" ht="15" hidden="false" customHeight="false" outlineLevel="0" collapsed="false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2"/>
      <c r="W10" s="22"/>
      <c r="X10" s="21"/>
    </row>
    <row r="11" customFormat="false" ht="15" hidden="false" customHeight="false" outlineLevel="0" collapsed="false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2"/>
      <c r="W11" s="22"/>
      <c r="X11" s="21"/>
    </row>
    <row r="12" customFormat="false" ht="15" hidden="false" customHeight="false" outlineLevel="0" collapsed="false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2"/>
      <c r="W12" s="22"/>
      <c r="X12" s="21"/>
    </row>
    <row r="13" customFormat="false" ht="15" hidden="false" customHeight="false" outlineLevel="0" collapsed="false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2"/>
      <c r="W13" s="22"/>
      <c r="X13" s="21"/>
    </row>
    <row r="14" customFormat="false" ht="15" hidden="false" customHeight="false" outlineLevel="0" collapsed="false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2"/>
      <c r="W14" s="22"/>
      <c r="X14" s="21"/>
    </row>
    <row r="15" customFormat="false" ht="15" hidden="false" customHeight="false" outlineLevel="0" collapsed="false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2"/>
      <c r="W15" s="22"/>
      <c r="X15" s="21"/>
    </row>
    <row r="16" customFormat="false" ht="15" hidden="false" customHeight="false" outlineLevel="0" collapsed="false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2"/>
      <c r="W16" s="22"/>
      <c r="X16" s="21"/>
    </row>
    <row r="17" customFormat="false" ht="15" hidden="false" customHeight="false" outlineLevel="0" collapsed="false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2"/>
      <c r="W17" s="22"/>
      <c r="X17" s="21"/>
    </row>
    <row r="18" customFormat="false" ht="15" hidden="false" customHeight="false" outlineLevel="0" collapsed="false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2"/>
      <c r="W18" s="22"/>
      <c r="X18" s="21"/>
    </row>
    <row r="19" customFormat="false" ht="15" hidden="false" customHeight="false" outlineLevel="0" collapsed="false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2"/>
      <c r="W19" s="22"/>
      <c r="X19" s="21"/>
    </row>
    <row r="20" customFormat="false" ht="15" hidden="false" customHeight="false" outlineLevel="0" collapsed="false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2"/>
      <c r="W20" s="22"/>
      <c r="X20" s="21"/>
    </row>
    <row r="21" customFormat="false" ht="15" hidden="false" customHeight="false" outlineLevel="0" collapsed="false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2"/>
      <c r="W21" s="22"/>
      <c r="X21" s="21"/>
    </row>
    <row r="22" customFormat="false" ht="15" hidden="false" customHeight="false" outlineLevel="0" collapsed="false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2"/>
      <c r="W22" s="22"/>
      <c r="X22" s="21"/>
    </row>
    <row r="23" customFormat="false" ht="15" hidden="false" customHeight="false" outlineLevel="0" collapsed="false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2"/>
      <c r="W23" s="22"/>
      <c r="X23" s="21"/>
    </row>
    <row r="24" customFormat="false" ht="15" hidden="false" customHeight="false" outlineLevel="0" collapsed="false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2"/>
      <c r="W24" s="22"/>
      <c r="X24" s="21"/>
    </row>
    <row r="25" customFormat="false" ht="15" hidden="false" customHeight="false" outlineLevel="0" collapsed="false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2"/>
      <c r="W25" s="22"/>
      <c r="X25" s="21"/>
    </row>
    <row r="26" customFormat="false" ht="15" hidden="false" customHeight="false" outlineLevel="0" collapsed="false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2"/>
      <c r="W26" s="22"/>
      <c r="X26" s="21"/>
    </row>
    <row r="27" customFormat="false" ht="15" hidden="false" customHeight="false" outlineLevel="0" collapsed="false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2"/>
      <c r="W27" s="22"/>
      <c r="X27" s="21"/>
    </row>
    <row r="28" customFormat="false" ht="15" hidden="false" customHeight="false" outlineLevel="0" collapsed="false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2"/>
      <c r="W28" s="22"/>
      <c r="X28" s="21"/>
    </row>
    <row r="29" customFormat="false" ht="15" hidden="false" customHeight="false" outlineLevel="0" collapsed="false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2"/>
      <c r="W29" s="22"/>
      <c r="X29" s="21"/>
    </row>
    <row r="30" customFormat="false" ht="15" hidden="false" customHeight="false" outlineLevel="0" collapsed="false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2"/>
      <c r="W30" s="22"/>
      <c r="X30" s="21"/>
    </row>
    <row r="31" customFormat="false" ht="15" hidden="false" customHeight="false" outlineLevel="0" collapsed="false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2"/>
      <c r="W31" s="22"/>
      <c r="X31" s="21"/>
    </row>
    <row r="32" customFormat="false" ht="15" hidden="false" customHeight="false" outlineLevel="0" collapsed="false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2"/>
      <c r="W32" s="22"/>
      <c r="X32" s="21"/>
    </row>
    <row r="33" customFormat="false" ht="15" hidden="false" customHeight="false" outlineLevel="0" collapsed="false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2"/>
      <c r="W33" s="22"/>
      <c r="X33" s="21"/>
    </row>
    <row r="34" customFormat="false" ht="15" hidden="false" customHeight="false" outlineLevel="0" collapsed="false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2"/>
      <c r="W34" s="22"/>
      <c r="X34" s="21"/>
    </row>
    <row r="35" customFormat="false" ht="15" hidden="false" customHeight="false" outlineLevel="0" collapsed="false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2"/>
      <c r="W35" s="22"/>
      <c r="X35" s="21"/>
    </row>
    <row r="36" customFormat="false" ht="15" hidden="false" customHeight="false" outlineLevel="0" collapsed="false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2"/>
      <c r="W36" s="22"/>
      <c r="X36" s="21"/>
    </row>
    <row r="37" customFormat="false" ht="15" hidden="false" customHeight="false" outlineLevel="0" collapsed="false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2"/>
      <c r="W37" s="22"/>
      <c r="X37" s="21"/>
    </row>
    <row r="38" customFormat="false" ht="15" hidden="false" customHeight="false" outlineLevel="0" collapsed="false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2"/>
      <c r="W38" s="22"/>
      <c r="X38" s="21"/>
    </row>
    <row r="39" customFormat="false" ht="15" hidden="false" customHeight="false" outlineLevel="0" collapsed="false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2"/>
      <c r="W39" s="22"/>
      <c r="X39" s="21"/>
    </row>
    <row r="40" customFormat="false" ht="15" hidden="false" customHeight="false" outlineLevel="0" collapsed="false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2"/>
      <c r="W40" s="22"/>
      <c r="X40" s="21"/>
    </row>
    <row r="41" customFormat="false" ht="15" hidden="false" customHeight="false" outlineLevel="0" collapsed="false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2"/>
      <c r="W41" s="22"/>
      <c r="X41" s="21"/>
    </row>
    <row r="42" customFormat="false" ht="15" hidden="false" customHeight="false" outlineLevel="0" collapsed="false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2"/>
      <c r="W42" s="22"/>
      <c r="X42" s="21"/>
    </row>
    <row r="43" customFormat="false" ht="15" hidden="false" customHeight="false" outlineLevel="0" collapsed="false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2"/>
      <c r="W43" s="22"/>
      <c r="X43" s="21"/>
    </row>
    <row r="44" customFormat="false" ht="15" hidden="false" customHeight="false" outlineLevel="0" collapsed="false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2"/>
      <c r="W44" s="22"/>
      <c r="X44" s="21"/>
    </row>
    <row r="45" customFormat="false" ht="15" hidden="false" customHeight="false" outlineLevel="0" collapsed="false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2"/>
      <c r="W45" s="22"/>
      <c r="X45" s="21"/>
    </row>
    <row r="46" customFormat="false" ht="15" hidden="false" customHeight="false" outlineLevel="0" collapsed="false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2"/>
      <c r="W46" s="22"/>
      <c r="X46" s="21"/>
    </row>
    <row r="47" customFormat="false" ht="15" hidden="false" customHeight="false" outlineLevel="0" collapsed="false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2"/>
      <c r="W47" s="22"/>
      <c r="X47" s="21"/>
    </row>
    <row r="48" customFormat="false" ht="15" hidden="false" customHeight="false" outlineLevel="0" collapsed="false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2"/>
      <c r="W48" s="22"/>
      <c r="X48" s="21"/>
    </row>
    <row r="49" customFormat="false" ht="15" hidden="false" customHeight="false" outlineLevel="0" collapsed="false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2"/>
      <c r="W49" s="22"/>
      <c r="X49" s="21"/>
    </row>
    <row r="50" customFormat="false" ht="15" hidden="false" customHeight="false" outlineLevel="0" collapsed="false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2"/>
      <c r="W50" s="22"/>
      <c r="X50" s="21"/>
    </row>
    <row r="51" customFormat="false" ht="15" hidden="false" customHeight="false" outlineLevel="0" collapsed="false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2"/>
      <c r="W51" s="22"/>
      <c r="X51" s="21"/>
    </row>
    <row r="52" customFormat="false" ht="15" hidden="false" customHeight="false" outlineLevel="0" collapsed="false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2"/>
      <c r="W52" s="22"/>
      <c r="X52" s="21"/>
    </row>
    <row r="53" customFormat="false" ht="15" hidden="false" customHeight="false" outlineLevel="0" collapsed="false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2"/>
      <c r="W53" s="22"/>
      <c r="X53" s="21"/>
    </row>
    <row r="54" customFormat="false" ht="15" hidden="false" customHeight="false" outlineLevel="0" collapsed="false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2"/>
      <c r="W54" s="22"/>
      <c r="X54" s="21"/>
    </row>
    <row r="55" customFormat="false" ht="15" hidden="false" customHeight="false" outlineLevel="0" collapsed="false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2"/>
      <c r="W55" s="22"/>
      <c r="X55" s="21"/>
    </row>
    <row r="56" customFormat="false" ht="15" hidden="false" customHeight="false" outlineLevel="0" collapsed="false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2"/>
      <c r="W56" s="22"/>
      <c r="X56" s="21"/>
    </row>
    <row r="57" customFormat="false" ht="15" hidden="false" customHeight="false" outlineLevel="0" collapsed="false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2"/>
      <c r="W57" s="22"/>
      <c r="X57" s="21"/>
    </row>
    <row r="58" customFormat="false" ht="15" hidden="false" customHeight="false" outlineLevel="0" collapsed="false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2"/>
      <c r="W58" s="22"/>
      <c r="X58" s="21"/>
    </row>
    <row r="59" customFormat="false" ht="15" hidden="false" customHeight="false" outlineLevel="0" collapsed="false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2"/>
      <c r="W59" s="22"/>
      <c r="X59" s="21"/>
    </row>
    <row r="60" customFormat="false" ht="15" hidden="false" customHeight="false" outlineLevel="0" collapsed="false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2"/>
      <c r="W60" s="22"/>
      <c r="X60" s="21"/>
    </row>
    <row r="61" customFormat="false" ht="15" hidden="false" customHeight="false" outlineLevel="0" collapsed="false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2"/>
      <c r="W61" s="22"/>
      <c r="X61" s="21"/>
    </row>
    <row r="62" customFormat="false" ht="15" hidden="false" customHeight="false" outlineLevel="0" collapsed="false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2"/>
      <c r="W62" s="22"/>
      <c r="X62" s="21"/>
    </row>
    <row r="63" customFormat="false" ht="15" hidden="false" customHeight="false" outlineLevel="0" collapsed="false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2"/>
      <c r="W63" s="22"/>
      <c r="X63" s="21"/>
    </row>
    <row r="64" customFormat="false" ht="15" hidden="false" customHeight="false" outlineLevel="0" collapsed="false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2"/>
      <c r="W64" s="22"/>
      <c r="X64" s="21"/>
    </row>
    <row r="65" customFormat="false" ht="15" hidden="false" customHeight="false" outlineLevel="0" collapsed="false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2"/>
      <c r="W65" s="22"/>
      <c r="X65" s="21"/>
    </row>
    <row r="66" customFormat="false" ht="15" hidden="false" customHeight="false" outlineLevel="0" collapsed="false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2"/>
      <c r="W66" s="22"/>
      <c r="X66" s="21"/>
    </row>
    <row r="67" customFormat="false" ht="15" hidden="false" customHeight="false" outlineLevel="0" collapsed="false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2"/>
      <c r="W67" s="22"/>
      <c r="X67" s="21"/>
    </row>
    <row r="68" customFormat="false" ht="15" hidden="false" customHeight="false" outlineLevel="0" collapsed="false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2"/>
      <c r="W68" s="22"/>
      <c r="X68" s="21"/>
    </row>
    <row r="69" customFormat="false" ht="15" hidden="false" customHeight="false" outlineLevel="0" collapsed="false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2"/>
      <c r="W69" s="22"/>
      <c r="X69" s="21"/>
    </row>
    <row r="70" customFormat="false" ht="15" hidden="false" customHeight="false" outlineLevel="0" collapsed="false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2"/>
      <c r="W70" s="22"/>
      <c r="X70" s="21"/>
    </row>
    <row r="71" customFormat="false" ht="15" hidden="false" customHeight="false" outlineLevel="0" collapsed="false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2"/>
      <c r="W71" s="22"/>
      <c r="X71" s="21"/>
    </row>
    <row r="72" customFormat="false" ht="15" hidden="false" customHeight="false" outlineLevel="0" collapsed="false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2"/>
      <c r="W72" s="22"/>
      <c r="X72" s="21"/>
    </row>
    <row r="73" customFormat="false" ht="15" hidden="false" customHeight="false" outlineLevel="0" collapsed="false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2"/>
      <c r="W73" s="22"/>
      <c r="X73" s="21"/>
    </row>
    <row r="74" customFormat="false" ht="15" hidden="false" customHeight="false" outlineLevel="0" collapsed="false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2"/>
      <c r="W74" s="22"/>
      <c r="X74" s="21"/>
    </row>
    <row r="75" customFormat="false" ht="15" hidden="false" customHeight="false" outlineLevel="0" collapsed="false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2"/>
      <c r="W75" s="22"/>
      <c r="X75" s="21"/>
    </row>
    <row r="76" customFormat="false" ht="15" hidden="false" customHeight="false" outlineLevel="0" collapsed="false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2"/>
      <c r="W76" s="22"/>
      <c r="X76" s="21"/>
    </row>
    <row r="77" customFormat="false" ht="15" hidden="false" customHeight="false" outlineLevel="0" collapsed="false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2"/>
      <c r="W77" s="22"/>
      <c r="X77" s="21"/>
    </row>
    <row r="78" customFormat="false" ht="15" hidden="false" customHeight="false" outlineLevel="0" collapsed="false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2"/>
      <c r="W78" s="22"/>
      <c r="X78" s="21"/>
    </row>
    <row r="79" customFormat="false" ht="15" hidden="false" customHeight="false" outlineLevel="0" collapsed="false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2"/>
      <c r="W79" s="22"/>
      <c r="X79" s="21"/>
    </row>
    <row r="80" customFormat="false" ht="15" hidden="false" customHeight="false" outlineLevel="0" collapsed="false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2"/>
      <c r="W80" s="22"/>
      <c r="X80" s="21"/>
    </row>
    <row r="81" customFormat="false" ht="15" hidden="false" customHeight="false" outlineLevel="0" collapsed="false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2"/>
      <c r="W81" s="22"/>
      <c r="X81" s="21"/>
    </row>
    <row r="82" customFormat="false" ht="15" hidden="false" customHeight="false" outlineLevel="0" collapsed="false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2"/>
      <c r="W82" s="22"/>
      <c r="X82" s="21"/>
    </row>
    <row r="83" customFormat="false" ht="15" hidden="false" customHeight="false" outlineLevel="0" collapsed="false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2"/>
      <c r="W83" s="22"/>
      <c r="X83" s="21"/>
    </row>
    <row r="84" customFormat="false" ht="15" hidden="false" customHeight="false" outlineLevel="0" collapsed="false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2"/>
      <c r="W84" s="22"/>
      <c r="X84" s="21"/>
    </row>
    <row r="85" customFormat="false" ht="15" hidden="false" customHeight="false" outlineLevel="0" collapsed="false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2"/>
      <c r="W85" s="22"/>
      <c r="X85" s="21"/>
    </row>
    <row r="86" customFormat="false" ht="15" hidden="false" customHeight="false" outlineLevel="0" collapsed="false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2"/>
      <c r="W86" s="22"/>
      <c r="X86" s="21"/>
    </row>
    <row r="87" customFormat="false" ht="15" hidden="false" customHeight="false" outlineLevel="0" collapsed="false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2"/>
      <c r="W87" s="22"/>
      <c r="X87" s="21"/>
    </row>
    <row r="88" customFormat="false" ht="15" hidden="false" customHeight="false" outlineLevel="0" collapsed="false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2"/>
      <c r="W88" s="22"/>
      <c r="X88" s="21"/>
    </row>
    <row r="89" customFormat="false" ht="15" hidden="false" customHeight="false" outlineLevel="0" collapsed="false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2"/>
      <c r="W89" s="22"/>
      <c r="X89" s="21"/>
    </row>
    <row r="90" customFormat="false" ht="15" hidden="false" customHeight="false" outlineLevel="0" collapsed="false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2"/>
      <c r="W90" s="22"/>
      <c r="X90" s="21"/>
    </row>
    <row r="91" customFormat="false" ht="15" hidden="false" customHeight="false" outlineLevel="0" collapsed="false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2"/>
      <c r="W91" s="22"/>
      <c r="X91" s="21"/>
    </row>
    <row r="92" customFormat="false" ht="15" hidden="false" customHeight="false" outlineLevel="0" collapsed="false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2"/>
      <c r="W92" s="22"/>
      <c r="X92" s="21"/>
    </row>
    <row r="93" customFormat="false" ht="15" hidden="false" customHeight="false" outlineLevel="0" collapsed="false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2"/>
      <c r="W93" s="22"/>
      <c r="X93" s="21"/>
    </row>
    <row r="94" customFormat="false" ht="15" hidden="false" customHeight="false" outlineLevel="0" collapsed="false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2"/>
      <c r="W94" s="22"/>
      <c r="X94" s="21"/>
    </row>
    <row r="95" customFormat="false" ht="15" hidden="false" customHeight="false" outlineLevel="0" collapsed="false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2"/>
      <c r="W95" s="22"/>
      <c r="X95" s="21"/>
    </row>
    <row r="96" customFormat="false" ht="15" hidden="false" customHeight="false" outlineLevel="0" collapsed="false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2"/>
      <c r="W96" s="22"/>
      <c r="X96" s="21"/>
    </row>
    <row r="97" customFormat="false" ht="15" hidden="false" customHeight="false" outlineLevel="0" collapsed="false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2"/>
      <c r="W97" s="22"/>
      <c r="X97" s="21"/>
    </row>
    <row r="98" customFormat="false" ht="15" hidden="false" customHeight="false" outlineLevel="0" collapsed="false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2"/>
      <c r="W98" s="22"/>
      <c r="X98" s="21"/>
    </row>
    <row r="99" customFormat="false" ht="15" hidden="false" customHeight="false" outlineLevel="0" collapsed="false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2"/>
      <c r="W99" s="22"/>
      <c r="X99" s="21"/>
    </row>
    <row r="100" customFormat="false" ht="15" hidden="false" customHeight="false" outlineLevel="0" collapsed="false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2"/>
      <c r="W100" s="22"/>
      <c r="X100" s="21"/>
    </row>
    <row r="101" customFormat="false" ht="15" hidden="false" customHeight="false" outlineLevel="0" collapsed="false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2"/>
      <c r="W101" s="22"/>
      <c r="X101" s="21"/>
    </row>
    <row r="102" customFormat="false" ht="15" hidden="false" customHeight="false" outlineLevel="0" collapsed="false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2"/>
      <c r="W102" s="22"/>
      <c r="X102" s="21"/>
    </row>
    <row r="103" customFormat="false" ht="15" hidden="false" customHeight="false" outlineLevel="0" collapsed="false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2"/>
      <c r="W103" s="22"/>
      <c r="X103" s="21"/>
    </row>
    <row r="104" customFormat="false" ht="15" hidden="false" customHeight="false" outlineLevel="0" collapsed="false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2"/>
      <c r="W104" s="22"/>
      <c r="X104" s="21"/>
    </row>
    <row r="105" customFormat="false" ht="15" hidden="false" customHeight="false" outlineLevel="0" collapsed="false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2"/>
      <c r="W105" s="22"/>
      <c r="X105" s="21"/>
    </row>
    <row r="106" customFormat="false" ht="15" hidden="false" customHeight="false" outlineLevel="0" collapsed="false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2"/>
      <c r="W106" s="22"/>
      <c r="X106" s="21"/>
    </row>
    <row r="107" customFormat="false" ht="15" hidden="false" customHeight="false" outlineLevel="0" collapsed="false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2"/>
      <c r="W107" s="22"/>
      <c r="X107" s="21"/>
    </row>
    <row r="108" customFormat="false" ht="15" hidden="false" customHeight="false" outlineLevel="0" collapsed="false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2"/>
      <c r="W108" s="22"/>
      <c r="X108" s="21"/>
    </row>
    <row r="109" customFormat="false" ht="15" hidden="false" customHeight="false" outlineLevel="0" collapsed="false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2"/>
      <c r="W109" s="22"/>
      <c r="X109" s="21"/>
    </row>
    <row r="110" customFormat="false" ht="15" hidden="false" customHeight="false" outlineLevel="0" collapsed="false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2"/>
      <c r="W110" s="22"/>
      <c r="X110" s="21"/>
    </row>
    <row r="111" customFormat="false" ht="15" hidden="false" customHeight="false" outlineLevel="0" collapsed="false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2"/>
      <c r="W111" s="22"/>
      <c r="X111" s="21"/>
    </row>
    <row r="112" customFormat="false" ht="15" hidden="false" customHeight="false" outlineLevel="0" collapsed="false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2"/>
      <c r="W112" s="22"/>
      <c r="X112" s="21"/>
    </row>
    <row r="113" customFormat="false" ht="15" hidden="false" customHeight="false" outlineLevel="0" collapsed="false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2"/>
      <c r="W113" s="22"/>
      <c r="X113" s="21"/>
    </row>
    <row r="114" customFormat="false" ht="15" hidden="false" customHeight="false" outlineLevel="0" collapsed="false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2"/>
      <c r="W114" s="22"/>
      <c r="X114" s="21"/>
    </row>
    <row r="115" customFormat="false" ht="15" hidden="false" customHeight="false" outlineLevel="0" collapsed="false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2"/>
      <c r="W115" s="22"/>
      <c r="X115" s="21"/>
    </row>
    <row r="116" customFormat="false" ht="15" hidden="false" customHeight="false" outlineLevel="0" collapsed="false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2"/>
      <c r="W116" s="22"/>
      <c r="X116" s="21"/>
    </row>
    <row r="117" customFormat="false" ht="15" hidden="false" customHeight="false" outlineLevel="0" collapsed="false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2"/>
      <c r="W117" s="22"/>
      <c r="X117" s="21"/>
    </row>
    <row r="118" customFormat="false" ht="15" hidden="false" customHeight="false" outlineLevel="0" collapsed="false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2"/>
      <c r="W118" s="22"/>
      <c r="X118" s="21"/>
    </row>
    <row r="119" customFormat="false" ht="15" hidden="false" customHeight="false" outlineLevel="0" collapsed="false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2"/>
      <c r="W119" s="22"/>
      <c r="X119" s="21"/>
    </row>
    <row r="120" customFormat="false" ht="15" hidden="false" customHeight="false" outlineLevel="0" collapsed="false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2"/>
      <c r="W120" s="22"/>
      <c r="X120" s="21"/>
    </row>
    <row r="121" customFormat="false" ht="15" hidden="false" customHeight="false" outlineLevel="0" collapsed="false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2"/>
      <c r="W121" s="22"/>
      <c r="X121" s="21"/>
    </row>
    <row r="122" customFormat="false" ht="15" hidden="false" customHeight="false" outlineLevel="0" collapsed="false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2"/>
      <c r="W122" s="22"/>
      <c r="X122" s="21"/>
    </row>
    <row r="123" customFormat="false" ht="15" hidden="false" customHeight="false" outlineLevel="0" collapsed="false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2"/>
      <c r="W123" s="22"/>
      <c r="X123" s="21"/>
    </row>
    <row r="124" customFormat="false" ht="15" hidden="false" customHeight="false" outlineLevel="0" collapsed="false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2"/>
      <c r="W124" s="22"/>
      <c r="X124" s="21"/>
    </row>
    <row r="125" customFormat="false" ht="15" hidden="false" customHeight="false" outlineLevel="0" collapsed="false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2"/>
      <c r="W125" s="22"/>
      <c r="X125" s="21"/>
    </row>
    <row r="126" customFormat="false" ht="15" hidden="false" customHeight="false" outlineLevel="0" collapsed="false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2"/>
      <c r="W126" s="22"/>
      <c r="X126" s="21"/>
    </row>
    <row r="127" customFormat="false" ht="15" hidden="false" customHeight="false" outlineLevel="0" collapsed="false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2"/>
      <c r="W127" s="22"/>
      <c r="X127" s="21"/>
    </row>
    <row r="128" customFormat="false" ht="15" hidden="false" customHeight="false" outlineLevel="0" collapsed="false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2"/>
      <c r="W128" s="22"/>
      <c r="X128" s="21"/>
    </row>
    <row r="129" customFormat="false" ht="15" hidden="false" customHeight="false" outlineLevel="0" collapsed="false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2"/>
      <c r="W129" s="22"/>
      <c r="X129" s="21"/>
    </row>
    <row r="130" customFormat="false" ht="15" hidden="false" customHeight="false" outlineLevel="0" collapsed="false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2"/>
      <c r="W130" s="22"/>
      <c r="X130" s="21"/>
    </row>
    <row r="131" customFormat="false" ht="15" hidden="false" customHeight="false" outlineLevel="0" collapsed="false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2"/>
      <c r="W131" s="22"/>
      <c r="X131" s="21"/>
    </row>
    <row r="132" customFormat="false" ht="15" hidden="false" customHeight="false" outlineLevel="0" collapsed="false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2"/>
      <c r="W132" s="22"/>
      <c r="X132" s="21"/>
    </row>
    <row r="133" customFormat="false" ht="15" hidden="false" customHeight="false" outlineLevel="0" collapsed="false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2"/>
      <c r="W133" s="22"/>
      <c r="X133" s="21"/>
    </row>
    <row r="134" customFormat="false" ht="15" hidden="false" customHeight="false" outlineLevel="0" collapsed="false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2"/>
      <c r="W134" s="22"/>
      <c r="X134" s="21"/>
    </row>
    <row r="135" customFormat="false" ht="15" hidden="false" customHeight="false" outlineLevel="0" collapsed="false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2"/>
      <c r="W135" s="22"/>
      <c r="X135" s="21"/>
    </row>
    <row r="136" customFormat="false" ht="15" hidden="false" customHeight="false" outlineLevel="0" collapsed="false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2"/>
      <c r="W136" s="22"/>
      <c r="X136" s="21"/>
    </row>
    <row r="137" customFormat="false" ht="15" hidden="false" customHeight="false" outlineLevel="0" collapsed="false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2"/>
      <c r="W137" s="22"/>
      <c r="X137" s="21"/>
    </row>
    <row r="138" customFormat="false" ht="15" hidden="false" customHeight="false" outlineLevel="0" collapsed="false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2"/>
      <c r="W138" s="22"/>
      <c r="X138" s="21"/>
    </row>
    <row r="139" customFormat="false" ht="15" hidden="false" customHeight="false" outlineLevel="0" collapsed="false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2"/>
      <c r="W139" s="22"/>
      <c r="X139" s="21"/>
    </row>
    <row r="140" customFormat="false" ht="15" hidden="false" customHeight="false" outlineLevel="0" collapsed="false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2"/>
      <c r="W140" s="22"/>
      <c r="X140" s="21"/>
    </row>
    <row r="141" customFormat="false" ht="15" hidden="false" customHeight="false" outlineLevel="0" collapsed="false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2"/>
      <c r="W141" s="22"/>
      <c r="X141" s="21"/>
    </row>
    <row r="142" customFormat="false" ht="15" hidden="false" customHeight="false" outlineLevel="0" collapsed="false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2"/>
      <c r="W142" s="22"/>
      <c r="X142" s="21"/>
    </row>
    <row r="143" customFormat="false" ht="15" hidden="false" customHeight="false" outlineLevel="0" collapsed="false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2"/>
      <c r="W143" s="22"/>
      <c r="X143" s="21"/>
    </row>
    <row r="144" customFormat="false" ht="15" hidden="false" customHeight="false" outlineLevel="0" collapsed="false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2"/>
      <c r="W144" s="22"/>
      <c r="X144" s="21"/>
    </row>
    <row r="145" customFormat="false" ht="15" hidden="false" customHeight="false" outlineLevel="0" collapsed="false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2"/>
      <c r="W145" s="22"/>
      <c r="X145" s="21"/>
    </row>
    <row r="146" customFormat="false" ht="15" hidden="false" customHeight="false" outlineLevel="0" collapsed="false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2"/>
      <c r="W146" s="22"/>
      <c r="X146" s="21"/>
    </row>
    <row r="147" customFormat="false" ht="15" hidden="false" customHeight="false" outlineLevel="0" collapsed="false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2"/>
      <c r="W147" s="22"/>
      <c r="X147" s="21"/>
    </row>
    <row r="148" customFormat="false" ht="15" hidden="false" customHeight="false" outlineLevel="0" collapsed="false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2"/>
      <c r="W148" s="22"/>
      <c r="X148" s="21"/>
    </row>
    <row r="149" customFormat="false" ht="15" hidden="false" customHeight="false" outlineLevel="0" collapsed="false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2"/>
      <c r="W149" s="22"/>
      <c r="X149" s="21"/>
    </row>
    <row r="150" customFormat="false" ht="15" hidden="false" customHeight="false" outlineLevel="0" collapsed="false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2"/>
      <c r="W150" s="22"/>
      <c r="X150" s="21"/>
    </row>
    <row r="151" customFormat="false" ht="15" hidden="false" customHeight="false" outlineLevel="0" collapsed="false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2"/>
      <c r="W151" s="22"/>
      <c r="X151" s="21"/>
    </row>
    <row r="152" customFormat="false" ht="15" hidden="false" customHeight="false" outlineLevel="0" collapsed="false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2"/>
      <c r="W152" s="22"/>
      <c r="X152" s="21"/>
    </row>
    <row r="153" customFormat="false" ht="15" hidden="false" customHeight="false" outlineLevel="0" collapsed="false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2"/>
      <c r="W153" s="22"/>
      <c r="X153" s="21"/>
    </row>
    <row r="154" customFormat="false" ht="15" hidden="false" customHeight="false" outlineLevel="0" collapsed="false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2"/>
      <c r="W154" s="22"/>
      <c r="X154" s="21"/>
    </row>
    <row r="155" customFormat="false" ht="15" hidden="false" customHeight="false" outlineLevel="0" collapsed="false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2"/>
      <c r="W155" s="22"/>
      <c r="X155" s="21"/>
    </row>
    <row r="156" customFormat="false" ht="15" hidden="false" customHeight="false" outlineLevel="0" collapsed="false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2"/>
      <c r="W156" s="22"/>
      <c r="X156" s="21"/>
    </row>
    <row r="157" customFormat="false" ht="15" hidden="false" customHeight="false" outlineLevel="0" collapsed="false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2"/>
      <c r="W157" s="22"/>
      <c r="X157" s="21"/>
    </row>
    <row r="158" customFormat="false" ht="15" hidden="false" customHeight="false" outlineLevel="0" collapsed="false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2"/>
      <c r="W158" s="22"/>
      <c r="X158" s="21"/>
    </row>
    <row r="159" customFormat="false" ht="15" hidden="false" customHeight="false" outlineLevel="0" collapsed="false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2"/>
      <c r="W159" s="22"/>
      <c r="X159" s="21"/>
    </row>
    <row r="160" customFormat="false" ht="15" hidden="false" customHeight="false" outlineLevel="0" collapsed="false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2"/>
      <c r="W160" s="22"/>
      <c r="X160" s="21"/>
    </row>
    <row r="161" customFormat="false" ht="15" hidden="false" customHeight="false" outlineLevel="0" collapsed="false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2"/>
      <c r="W161" s="22"/>
      <c r="X161" s="21"/>
    </row>
    <row r="162" customFormat="false" ht="15" hidden="false" customHeight="false" outlineLevel="0" collapsed="false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2"/>
      <c r="W162" s="22"/>
      <c r="X162" s="21"/>
    </row>
    <row r="163" customFormat="false" ht="15" hidden="false" customHeight="false" outlineLevel="0" collapsed="false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2"/>
      <c r="W163" s="22"/>
      <c r="X163" s="21"/>
    </row>
    <row r="164" customFormat="false" ht="15" hidden="false" customHeight="false" outlineLevel="0" collapsed="false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2"/>
      <c r="W164" s="22"/>
      <c r="X164" s="21"/>
    </row>
    <row r="165" customFormat="false" ht="15" hidden="false" customHeight="false" outlineLevel="0" collapsed="false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2"/>
      <c r="W165" s="22"/>
      <c r="X165" s="21"/>
    </row>
    <row r="166" customFormat="false" ht="15" hidden="false" customHeight="false" outlineLevel="0" collapsed="false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2"/>
      <c r="W166" s="22"/>
      <c r="X166" s="21"/>
    </row>
    <row r="167" customFormat="false" ht="15" hidden="false" customHeight="false" outlineLevel="0" collapsed="false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2"/>
      <c r="W167" s="22"/>
      <c r="X167" s="21"/>
    </row>
    <row r="168" customFormat="false" ht="15" hidden="false" customHeight="false" outlineLevel="0" collapsed="false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2"/>
      <c r="W168" s="22"/>
      <c r="X168" s="21"/>
    </row>
    <row r="169" customFormat="false" ht="15" hidden="false" customHeight="false" outlineLevel="0" collapsed="false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2"/>
      <c r="W169" s="22"/>
      <c r="X169" s="21"/>
    </row>
    <row r="170" customFormat="false" ht="15" hidden="false" customHeight="false" outlineLevel="0" collapsed="false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2"/>
      <c r="W170" s="22"/>
      <c r="X170" s="21"/>
    </row>
    <row r="171" customFormat="false" ht="15" hidden="false" customHeight="false" outlineLevel="0" collapsed="false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2"/>
      <c r="W171" s="22"/>
      <c r="X171" s="21"/>
    </row>
    <row r="172" customFormat="false" ht="15" hidden="false" customHeight="false" outlineLevel="0" collapsed="false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2"/>
      <c r="W172" s="22"/>
      <c r="X172" s="21"/>
    </row>
    <row r="173" customFormat="false" ht="15" hidden="false" customHeight="false" outlineLevel="0" collapsed="false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2"/>
      <c r="W173" s="22"/>
      <c r="X173" s="21"/>
    </row>
    <row r="174" customFormat="false" ht="15" hidden="false" customHeight="false" outlineLevel="0" collapsed="false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2"/>
      <c r="W174" s="22"/>
      <c r="X174" s="21"/>
    </row>
    <row r="175" customFormat="false" ht="15" hidden="false" customHeight="false" outlineLevel="0" collapsed="false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2"/>
      <c r="W175" s="22"/>
      <c r="X175" s="21"/>
    </row>
    <row r="176" customFormat="false" ht="15" hidden="false" customHeight="false" outlineLevel="0" collapsed="false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2"/>
      <c r="W176" s="22"/>
      <c r="X176" s="21"/>
    </row>
    <row r="177" customFormat="false" ht="15" hidden="false" customHeight="false" outlineLevel="0" collapsed="false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2"/>
      <c r="W177" s="22"/>
      <c r="X177" s="21"/>
    </row>
    <row r="178" customFormat="false" ht="15" hidden="false" customHeight="false" outlineLevel="0" collapsed="false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2"/>
      <c r="W178" s="22"/>
      <c r="X178" s="21"/>
    </row>
    <row r="179" customFormat="false" ht="15" hidden="false" customHeight="false" outlineLevel="0" collapsed="false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2"/>
      <c r="W179" s="22"/>
      <c r="X179" s="21"/>
    </row>
    <row r="180" customFormat="false" ht="15" hidden="false" customHeight="false" outlineLevel="0" collapsed="false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2"/>
      <c r="W180" s="22"/>
      <c r="X180" s="21"/>
    </row>
    <row r="181" customFormat="false" ht="15" hidden="false" customHeight="false" outlineLevel="0" collapsed="false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2"/>
      <c r="W181" s="22"/>
      <c r="X181" s="21"/>
    </row>
    <row r="182" customFormat="false" ht="15" hidden="false" customHeight="false" outlineLevel="0" collapsed="false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2"/>
      <c r="W182" s="22"/>
      <c r="X182" s="21"/>
    </row>
    <row r="183" customFormat="false" ht="15" hidden="false" customHeight="false" outlineLevel="0" collapsed="false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2"/>
      <c r="W183" s="22"/>
      <c r="X183" s="21"/>
    </row>
    <row r="184" customFormat="false" ht="15" hidden="false" customHeight="false" outlineLevel="0" collapsed="false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2"/>
      <c r="W184" s="22"/>
      <c r="X184" s="21"/>
    </row>
    <row r="185" customFormat="false" ht="15" hidden="false" customHeight="false" outlineLevel="0" collapsed="false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2"/>
      <c r="W185" s="22"/>
      <c r="X185" s="21"/>
    </row>
    <row r="186" customFormat="false" ht="15" hidden="false" customHeight="false" outlineLevel="0" collapsed="false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2"/>
      <c r="W186" s="22"/>
      <c r="X186" s="21"/>
    </row>
    <row r="187" customFormat="false" ht="15" hidden="false" customHeight="false" outlineLevel="0" collapsed="false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2"/>
      <c r="W187" s="22"/>
      <c r="X187" s="21"/>
    </row>
    <row r="188" customFormat="false" ht="15" hidden="false" customHeight="false" outlineLevel="0" collapsed="false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2"/>
      <c r="W188" s="22"/>
      <c r="X188" s="21"/>
    </row>
    <row r="189" customFormat="false" ht="15" hidden="false" customHeight="false" outlineLevel="0" collapsed="false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2"/>
      <c r="W189" s="22"/>
      <c r="X189" s="21"/>
    </row>
    <row r="190" customFormat="false" ht="15" hidden="false" customHeight="false" outlineLevel="0" collapsed="false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2"/>
      <c r="W190" s="22"/>
      <c r="X190" s="21"/>
    </row>
    <row r="191" customFormat="false" ht="15" hidden="false" customHeight="false" outlineLevel="0" collapsed="false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2"/>
      <c r="W191" s="22"/>
      <c r="X191" s="21"/>
    </row>
    <row r="192" customFormat="false" ht="15" hidden="false" customHeight="false" outlineLevel="0" collapsed="false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2"/>
      <c r="W192" s="22"/>
      <c r="X192" s="21"/>
    </row>
    <row r="193" customFormat="false" ht="15" hidden="false" customHeight="false" outlineLevel="0" collapsed="false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2"/>
      <c r="W193" s="22"/>
      <c r="X193" s="21"/>
    </row>
    <row r="194" customFormat="false" ht="15" hidden="false" customHeight="false" outlineLevel="0" collapsed="false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2"/>
      <c r="W194" s="22"/>
      <c r="X194" s="21"/>
    </row>
    <row r="195" customFormat="false" ht="15" hidden="false" customHeight="false" outlineLevel="0" collapsed="false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2"/>
      <c r="W195" s="22"/>
      <c r="X195" s="21"/>
    </row>
    <row r="196" customFormat="false" ht="15" hidden="false" customHeight="false" outlineLevel="0" collapsed="false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2"/>
      <c r="W196" s="22"/>
      <c r="X196" s="21"/>
    </row>
    <row r="197" customFormat="false" ht="15" hidden="false" customHeight="false" outlineLevel="0" collapsed="false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2"/>
      <c r="W197" s="22"/>
      <c r="X197" s="21"/>
    </row>
    <row r="198" customFormat="false" ht="15" hidden="false" customHeight="false" outlineLevel="0" collapsed="false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2"/>
      <c r="W198" s="22"/>
      <c r="X198" s="21"/>
    </row>
    <row r="199" customFormat="false" ht="15" hidden="false" customHeight="false" outlineLevel="0" collapsed="false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2"/>
      <c r="W199" s="22"/>
      <c r="X199" s="21"/>
    </row>
    <row r="200" customFormat="false" ht="15" hidden="false" customHeight="false" outlineLevel="0" collapsed="false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2"/>
      <c r="W200" s="22"/>
      <c r="X200" s="21"/>
    </row>
    <row r="201" customFormat="false" ht="15" hidden="false" customHeight="false" outlineLevel="0" collapsed="false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2"/>
      <c r="W201" s="22"/>
      <c r="X201" s="21"/>
    </row>
    <row r="202" customFormat="false" ht="15" hidden="false" customHeight="false" outlineLevel="0" collapsed="false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2"/>
      <c r="W202" s="22"/>
      <c r="X202" s="21"/>
    </row>
    <row r="203" customFormat="false" ht="15" hidden="false" customHeight="false" outlineLevel="0" collapsed="false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2"/>
      <c r="W203" s="22"/>
      <c r="X203" s="21"/>
    </row>
    <row r="204" customFormat="false" ht="15" hidden="false" customHeight="false" outlineLevel="0" collapsed="false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2"/>
      <c r="W204" s="22"/>
      <c r="X204" s="21"/>
    </row>
    <row r="205" customFormat="false" ht="15" hidden="false" customHeight="false" outlineLevel="0" collapsed="false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2"/>
      <c r="W205" s="22"/>
      <c r="X205" s="21"/>
    </row>
    <row r="206" customFormat="false" ht="15" hidden="false" customHeight="false" outlineLevel="0" collapsed="false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2"/>
      <c r="W206" s="22"/>
      <c r="X206" s="21"/>
    </row>
    <row r="207" customFormat="false" ht="15" hidden="false" customHeight="false" outlineLevel="0" collapsed="false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2"/>
      <c r="W207" s="22"/>
      <c r="X207" s="21"/>
    </row>
    <row r="208" customFormat="false" ht="15" hidden="false" customHeight="false" outlineLevel="0" collapsed="false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2"/>
      <c r="W208" s="22"/>
      <c r="X208" s="21"/>
    </row>
    <row r="209" customFormat="false" ht="15" hidden="false" customHeight="false" outlineLevel="0" collapsed="false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2"/>
      <c r="W209" s="22"/>
      <c r="X209" s="21"/>
    </row>
    <row r="210" customFormat="false" ht="15" hidden="false" customHeight="false" outlineLevel="0" collapsed="false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2"/>
      <c r="W210" s="22"/>
      <c r="X210" s="21"/>
    </row>
    <row r="211" customFormat="false" ht="15" hidden="false" customHeight="false" outlineLevel="0" collapsed="false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2"/>
      <c r="W211" s="22"/>
      <c r="X211" s="21"/>
    </row>
    <row r="212" customFormat="false" ht="15" hidden="false" customHeight="false" outlineLevel="0" collapsed="false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2"/>
      <c r="W212" s="22"/>
      <c r="X212" s="21"/>
    </row>
    <row r="213" customFormat="false" ht="15" hidden="false" customHeight="false" outlineLevel="0" collapsed="false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2"/>
      <c r="W213" s="22"/>
      <c r="X213" s="21"/>
    </row>
    <row r="214" customFormat="false" ht="15" hidden="false" customHeight="false" outlineLevel="0" collapsed="false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2"/>
      <c r="W214" s="22"/>
      <c r="X214" s="21"/>
    </row>
    <row r="215" customFormat="false" ht="15" hidden="false" customHeight="false" outlineLevel="0" collapsed="false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2"/>
      <c r="W215" s="22"/>
      <c r="X215" s="21"/>
    </row>
    <row r="216" customFormat="false" ht="15" hidden="false" customHeight="false" outlineLevel="0" collapsed="false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2"/>
      <c r="W216" s="22"/>
      <c r="X216" s="21"/>
    </row>
    <row r="217" customFormat="false" ht="15" hidden="false" customHeight="false" outlineLevel="0" collapsed="false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2"/>
      <c r="W217" s="22"/>
      <c r="X217" s="21"/>
    </row>
    <row r="218" customFormat="false" ht="15" hidden="false" customHeight="false" outlineLevel="0" collapsed="false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2"/>
      <c r="W218" s="22"/>
      <c r="X218" s="21"/>
    </row>
    <row r="219" customFormat="false" ht="15" hidden="false" customHeight="false" outlineLevel="0" collapsed="false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2"/>
      <c r="W219" s="22"/>
      <c r="X219" s="21"/>
    </row>
    <row r="220" customFormat="false" ht="15" hidden="false" customHeight="false" outlineLevel="0" collapsed="false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2"/>
      <c r="W220" s="22"/>
      <c r="X220" s="21"/>
    </row>
    <row r="221" customFormat="false" ht="15" hidden="false" customHeight="false" outlineLevel="0" collapsed="false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2"/>
      <c r="W221" s="22"/>
      <c r="X221" s="21"/>
    </row>
    <row r="222" customFormat="false" ht="15" hidden="false" customHeight="false" outlineLevel="0" collapsed="false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2"/>
      <c r="W222" s="22"/>
      <c r="X222" s="21"/>
    </row>
    <row r="223" customFormat="false" ht="15" hidden="false" customHeight="false" outlineLevel="0" collapsed="false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2"/>
      <c r="W223" s="22"/>
      <c r="X223" s="21"/>
    </row>
    <row r="224" customFormat="false" ht="15" hidden="false" customHeight="false" outlineLevel="0" collapsed="false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2"/>
      <c r="W224" s="22"/>
      <c r="X224" s="21"/>
    </row>
    <row r="225" customFormat="false" ht="15" hidden="false" customHeight="false" outlineLevel="0" collapsed="false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2"/>
      <c r="W225" s="22"/>
      <c r="X225" s="21"/>
    </row>
    <row r="226" customFormat="false" ht="15" hidden="false" customHeight="false" outlineLevel="0" collapsed="false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2"/>
      <c r="W226" s="22"/>
      <c r="X226" s="21"/>
    </row>
    <row r="227" customFormat="false" ht="15" hidden="false" customHeight="false" outlineLevel="0" collapsed="false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2"/>
      <c r="W227" s="22"/>
      <c r="X227" s="21"/>
    </row>
    <row r="228" customFormat="false" ht="15" hidden="false" customHeight="false" outlineLevel="0" collapsed="false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2"/>
      <c r="W228" s="22"/>
      <c r="X228" s="21"/>
    </row>
    <row r="229" customFormat="false" ht="15" hidden="false" customHeight="false" outlineLevel="0" collapsed="false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2"/>
      <c r="W229" s="22"/>
      <c r="X229" s="21"/>
    </row>
    <row r="230" customFormat="false" ht="15" hidden="false" customHeight="false" outlineLevel="0" collapsed="false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2"/>
      <c r="W230" s="22"/>
      <c r="X230" s="21"/>
    </row>
    <row r="231" customFormat="false" ht="15" hidden="false" customHeight="false" outlineLevel="0" collapsed="false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2"/>
      <c r="W231" s="22"/>
      <c r="X231" s="21"/>
    </row>
    <row r="232" customFormat="false" ht="15" hidden="false" customHeight="false" outlineLevel="0" collapsed="false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2"/>
      <c r="W232" s="22"/>
      <c r="X232" s="21"/>
    </row>
    <row r="233" customFormat="false" ht="15" hidden="false" customHeight="false" outlineLevel="0" collapsed="false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2"/>
      <c r="W233" s="22"/>
      <c r="X233" s="21"/>
    </row>
    <row r="234" customFormat="false" ht="15" hidden="false" customHeight="false" outlineLevel="0" collapsed="false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2"/>
      <c r="W234" s="22"/>
      <c r="X234" s="21"/>
    </row>
    <row r="235" customFormat="false" ht="15" hidden="false" customHeight="false" outlineLevel="0" collapsed="false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2"/>
      <c r="W235" s="22"/>
      <c r="X235" s="21"/>
    </row>
    <row r="236" customFormat="false" ht="15" hidden="false" customHeight="false" outlineLevel="0" collapsed="false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2"/>
      <c r="W236" s="22"/>
      <c r="X236" s="21"/>
    </row>
    <row r="237" customFormat="false" ht="15" hidden="false" customHeight="false" outlineLevel="0" collapsed="false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2"/>
      <c r="W237" s="22"/>
      <c r="X237" s="21"/>
    </row>
    <row r="238" customFormat="false" ht="15" hidden="false" customHeight="false" outlineLevel="0" collapsed="false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2"/>
      <c r="W238" s="22"/>
      <c r="X238" s="21"/>
    </row>
    <row r="239" customFormat="false" ht="15" hidden="false" customHeight="false" outlineLevel="0" collapsed="false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2"/>
      <c r="W239" s="22"/>
      <c r="X239" s="21"/>
    </row>
    <row r="240" customFormat="false" ht="15" hidden="false" customHeight="false" outlineLevel="0" collapsed="false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2"/>
      <c r="W240" s="22"/>
      <c r="X240" s="21"/>
    </row>
    <row r="241" customFormat="false" ht="15" hidden="false" customHeight="false" outlineLevel="0" collapsed="false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2"/>
      <c r="W241" s="22"/>
      <c r="X241" s="21"/>
    </row>
    <row r="242" customFormat="false" ht="15" hidden="false" customHeight="false" outlineLevel="0" collapsed="false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2"/>
      <c r="W242" s="22"/>
      <c r="X242" s="21"/>
    </row>
    <row r="243" customFormat="false" ht="15" hidden="false" customHeight="false" outlineLevel="0" collapsed="false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2"/>
      <c r="W243" s="22"/>
      <c r="X243" s="21"/>
    </row>
    <row r="244" customFormat="false" ht="15" hidden="false" customHeight="false" outlineLevel="0" collapsed="false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2"/>
      <c r="W244" s="22"/>
      <c r="X244" s="21"/>
    </row>
    <row r="245" customFormat="false" ht="15" hidden="false" customHeight="false" outlineLevel="0" collapsed="false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2"/>
      <c r="W245" s="22"/>
      <c r="X245" s="21"/>
    </row>
    <row r="246" customFormat="false" ht="15" hidden="false" customHeight="false" outlineLevel="0" collapsed="false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2"/>
      <c r="W246" s="22"/>
      <c r="X246" s="21"/>
    </row>
    <row r="247" customFormat="false" ht="15" hidden="false" customHeight="false" outlineLevel="0" collapsed="false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2"/>
      <c r="W247" s="22"/>
      <c r="X247" s="21"/>
    </row>
    <row r="248" customFormat="false" ht="15" hidden="false" customHeight="false" outlineLevel="0" collapsed="false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2"/>
      <c r="W248" s="22"/>
      <c r="X248" s="21"/>
    </row>
    <row r="249" customFormat="false" ht="15" hidden="false" customHeight="false" outlineLevel="0" collapsed="false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2"/>
      <c r="W249" s="22"/>
      <c r="X249" s="21"/>
    </row>
    <row r="250" customFormat="false" ht="15" hidden="false" customHeight="false" outlineLevel="0" collapsed="false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2"/>
      <c r="W250" s="22"/>
      <c r="X250" s="21"/>
    </row>
    <row r="251" customFormat="false" ht="15" hidden="false" customHeight="false" outlineLevel="0" collapsed="false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2"/>
      <c r="W251" s="22"/>
      <c r="X251" s="21"/>
    </row>
    <row r="252" customFormat="false" ht="15" hidden="false" customHeight="false" outlineLevel="0" collapsed="false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2"/>
      <c r="W252" s="22"/>
      <c r="X252" s="21"/>
    </row>
    <row r="253" customFormat="false" ht="15" hidden="false" customHeight="false" outlineLevel="0" collapsed="false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2"/>
      <c r="W253" s="22"/>
      <c r="X253" s="21"/>
    </row>
    <row r="254" customFormat="false" ht="15" hidden="false" customHeight="false" outlineLevel="0" collapsed="false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2"/>
      <c r="W254" s="22"/>
      <c r="X254" s="21"/>
    </row>
    <row r="255" customFormat="false" ht="15" hidden="false" customHeight="false" outlineLevel="0" collapsed="false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2"/>
      <c r="W255" s="22"/>
      <c r="X255" s="21"/>
    </row>
    <row r="256" customFormat="false" ht="15" hidden="false" customHeight="false" outlineLevel="0" collapsed="false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2"/>
      <c r="W256" s="22"/>
      <c r="X256" s="21"/>
    </row>
    <row r="257" customFormat="false" ht="15" hidden="false" customHeight="false" outlineLevel="0" collapsed="false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2"/>
      <c r="W257" s="22"/>
      <c r="X257" s="21"/>
    </row>
    <row r="258" customFormat="false" ht="15" hidden="false" customHeight="false" outlineLevel="0" collapsed="false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2"/>
      <c r="W258" s="22"/>
      <c r="X258" s="21"/>
    </row>
    <row r="259" customFormat="false" ht="15" hidden="false" customHeight="false" outlineLevel="0" collapsed="false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2"/>
      <c r="W259" s="22"/>
      <c r="X259" s="21"/>
    </row>
    <row r="260" customFormat="false" ht="15" hidden="false" customHeight="false" outlineLevel="0" collapsed="false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2"/>
      <c r="W260" s="22"/>
      <c r="X260" s="21"/>
    </row>
    <row r="261" customFormat="false" ht="15" hidden="false" customHeight="false" outlineLevel="0" collapsed="false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2"/>
      <c r="W261" s="22"/>
      <c r="X261" s="21"/>
    </row>
    <row r="262" customFormat="false" ht="15" hidden="false" customHeight="false" outlineLevel="0" collapsed="false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2"/>
      <c r="W262" s="22"/>
      <c r="X262" s="21"/>
    </row>
    <row r="263" customFormat="false" ht="15" hidden="false" customHeight="false" outlineLevel="0" collapsed="false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2"/>
      <c r="W263" s="22"/>
      <c r="X263" s="21"/>
    </row>
    <row r="264" customFormat="false" ht="15" hidden="false" customHeight="false" outlineLevel="0" collapsed="false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2"/>
      <c r="W264" s="22"/>
      <c r="X264" s="21"/>
    </row>
    <row r="265" customFormat="false" ht="15" hidden="false" customHeight="false" outlineLevel="0" collapsed="false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2"/>
      <c r="W265" s="22"/>
      <c r="X265" s="21"/>
    </row>
    <row r="266" customFormat="false" ht="15" hidden="false" customHeight="false" outlineLevel="0" collapsed="false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2"/>
      <c r="W266" s="22"/>
      <c r="X266" s="21"/>
    </row>
    <row r="267" customFormat="false" ht="15" hidden="false" customHeight="false" outlineLevel="0" collapsed="false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2"/>
      <c r="W267" s="22"/>
      <c r="X267" s="21"/>
    </row>
    <row r="268" customFormat="false" ht="15" hidden="false" customHeight="false" outlineLevel="0" collapsed="false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2"/>
      <c r="W268" s="22"/>
      <c r="X268" s="21"/>
    </row>
    <row r="269" customFormat="false" ht="15" hidden="false" customHeight="false" outlineLevel="0" collapsed="false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2"/>
      <c r="W269" s="22"/>
      <c r="X269" s="21"/>
    </row>
    <row r="270" customFormat="false" ht="15" hidden="false" customHeight="false" outlineLevel="0" collapsed="false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2"/>
      <c r="W270" s="22"/>
      <c r="X270" s="21"/>
    </row>
    <row r="271" customFormat="false" ht="15" hidden="false" customHeight="false" outlineLevel="0" collapsed="false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2"/>
      <c r="W271" s="22"/>
      <c r="X271" s="21"/>
    </row>
    <row r="272" customFormat="false" ht="15" hidden="false" customHeight="false" outlineLevel="0" collapsed="false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2"/>
      <c r="W272" s="22"/>
      <c r="X272" s="21"/>
    </row>
    <row r="273" customFormat="false" ht="15" hidden="false" customHeight="false" outlineLevel="0" collapsed="false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2"/>
      <c r="W273" s="22"/>
      <c r="X273" s="21"/>
    </row>
    <row r="274" customFormat="false" ht="15" hidden="false" customHeight="false" outlineLevel="0" collapsed="false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2"/>
      <c r="W274" s="22"/>
      <c r="X274" s="21"/>
    </row>
    <row r="275" customFormat="false" ht="15" hidden="false" customHeight="false" outlineLevel="0" collapsed="false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2"/>
      <c r="W275" s="22"/>
      <c r="X275" s="21"/>
    </row>
    <row r="276" customFormat="false" ht="15" hidden="false" customHeight="false" outlineLevel="0" collapsed="false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2"/>
      <c r="W276" s="22"/>
      <c r="X276" s="21"/>
    </row>
    <row r="277" customFormat="false" ht="15" hidden="false" customHeight="false" outlineLevel="0" collapsed="false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2"/>
      <c r="W277" s="22"/>
      <c r="X277" s="21"/>
    </row>
    <row r="278" customFormat="false" ht="15" hidden="false" customHeight="false" outlineLevel="0" collapsed="false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2"/>
      <c r="W278" s="22"/>
      <c r="X278" s="21"/>
    </row>
    <row r="279" customFormat="false" ht="15" hidden="false" customHeight="false" outlineLevel="0" collapsed="false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2"/>
      <c r="W279" s="22"/>
      <c r="X279" s="21"/>
    </row>
    <row r="280" customFormat="false" ht="15" hidden="false" customHeight="false" outlineLevel="0" collapsed="false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2"/>
      <c r="W280" s="22"/>
      <c r="X280" s="21"/>
    </row>
    <row r="281" customFormat="false" ht="15" hidden="false" customHeight="false" outlineLevel="0" collapsed="false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2"/>
      <c r="W281" s="22"/>
      <c r="X281" s="21"/>
    </row>
    <row r="282" customFormat="false" ht="15" hidden="false" customHeight="false" outlineLevel="0" collapsed="false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2"/>
      <c r="W282" s="22"/>
      <c r="X282" s="21"/>
    </row>
    <row r="283" customFormat="false" ht="15" hidden="false" customHeight="false" outlineLevel="0" collapsed="false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2"/>
      <c r="W283" s="22"/>
      <c r="X283" s="21"/>
    </row>
    <row r="284" customFormat="false" ht="15" hidden="false" customHeight="false" outlineLevel="0" collapsed="false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2"/>
      <c r="W284" s="22"/>
      <c r="X284" s="21"/>
    </row>
    <row r="285" customFormat="false" ht="15" hidden="false" customHeight="false" outlineLevel="0" collapsed="false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2"/>
      <c r="W285" s="22"/>
      <c r="X285" s="21"/>
    </row>
    <row r="286" customFormat="false" ht="15" hidden="false" customHeight="false" outlineLevel="0" collapsed="false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2"/>
      <c r="W286" s="22"/>
      <c r="X286" s="21"/>
    </row>
    <row r="287" customFormat="false" ht="15" hidden="false" customHeight="false" outlineLevel="0" collapsed="false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2"/>
      <c r="W287" s="22"/>
      <c r="X287" s="21"/>
    </row>
    <row r="288" customFormat="false" ht="15" hidden="false" customHeight="false" outlineLevel="0" collapsed="false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2"/>
      <c r="W288" s="22"/>
      <c r="X288" s="21"/>
    </row>
    <row r="289" customFormat="false" ht="15" hidden="false" customHeight="false" outlineLevel="0" collapsed="false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2"/>
      <c r="W289" s="22"/>
      <c r="X289" s="21"/>
    </row>
    <row r="290" customFormat="false" ht="15" hidden="false" customHeight="false" outlineLevel="0" collapsed="false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2"/>
      <c r="W290" s="22"/>
      <c r="X290" s="21"/>
    </row>
    <row r="291" customFormat="false" ht="15" hidden="false" customHeight="false" outlineLevel="0" collapsed="false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2"/>
      <c r="W291" s="22"/>
      <c r="X291" s="21"/>
    </row>
    <row r="292" customFormat="false" ht="15" hidden="false" customHeight="false" outlineLevel="0" collapsed="false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2"/>
      <c r="W292" s="22"/>
      <c r="X292" s="21"/>
    </row>
    <row r="293" customFormat="false" ht="15" hidden="false" customHeight="false" outlineLevel="0" collapsed="false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2"/>
      <c r="W293" s="22"/>
      <c r="X293" s="21"/>
    </row>
    <row r="294" customFormat="false" ht="15" hidden="false" customHeight="false" outlineLevel="0" collapsed="false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2"/>
      <c r="W294" s="22"/>
      <c r="X294" s="21"/>
    </row>
    <row r="295" customFormat="false" ht="15" hidden="false" customHeight="false" outlineLevel="0" collapsed="false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2"/>
      <c r="W295" s="22"/>
      <c r="X295" s="21"/>
    </row>
    <row r="296" customFormat="false" ht="15" hidden="false" customHeight="false" outlineLevel="0" collapsed="false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2"/>
      <c r="W296" s="22"/>
      <c r="X296" s="21"/>
    </row>
    <row r="297" customFormat="false" ht="15" hidden="false" customHeight="false" outlineLevel="0" collapsed="false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2"/>
      <c r="W297" s="22"/>
      <c r="X297" s="21"/>
    </row>
    <row r="298" customFormat="false" ht="15" hidden="false" customHeight="false" outlineLevel="0" collapsed="false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2"/>
      <c r="W298" s="22"/>
      <c r="X298" s="21"/>
    </row>
    <row r="299" customFormat="false" ht="15" hidden="false" customHeight="false" outlineLevel="0" collapsed="false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2"/>
      <c r="W299" s="22"/>
      <c r="X299" s="21"/>
    </row>
    <row r="300" customFormat="false" ht="15" hidden="false" customHeight="false" outlineLevel="0" collapsed="false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2"/>
      <c r="W300" s="22"/>
      <c r="X300" s="21"/>
    </row>
    <row r="301" customFormat="false" ht="15" hidden="false" customHeight="false" outlineLevel="0" collapsed="false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2"/>
      <c r="W301" s="22"/>
      <c r="X301" s="21"/>
    </row>
    <row r="302" customFormat="false" ht="15" hidden="false" customHeight="false" outlineLevel="0" collapsed="false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2"/>
      <c r="W302" s="22"/>
      <c r="X302" s="21"/>
    </row>
    <row r="303" customFormat="false" ht="15" hidden="false" customHeight="false" outlineLevel="0" collapsed="false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2"/>
      <c r="W303" s="22"/>
      <c r="X303" s="21"/>
    </row>
    <row r="304" customFormat="false" ht="15" hidden="false" customHeight="false" outlineLevel="0" collapsed="false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2"/>
      <c r="W304" s="22"/>
      <c r="X304" s="21"/>
    </row>
    <row r="305" customFormat="false" ht="15" hidden="false" customHeight="false" outlineLevel="0" collapsed="false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2"/>
      <c r="W305" s="22"/>
      <c r="X305" s="21"/>
    </row>
    <row r="306" customFormat="false" ht="15" hidden="false" customHeight="false" outlineLevel="0" collapsed="false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2"/>
      <c r="W306" s="22"/>
      <c r="X306" s="21"/>
    </row>
    <row r="307" customFormat="false" ht="15" hidden="false" customHeight="false" outlineLevel="0" collapsed="false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2"/>
      <c r="W307" s="22"/>
      <c r="X307" s="21"/>
    </row>
    <row r="308" customFormat="false" ht="15" hidden="false" customHeight="false" outlineLevel="0" collapsed="false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2"/>
      <c r="W308" s="22"/>
      <c r="X308" s="21"/>
    </row>
    <row r="309" customFormat="false" ht="15" hidden="false" customHeight="false" outlineLevel="0" collapsed="false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2"/>
      <c r="W309" s="22"/>
      <c r="X309" s="21"/>
    </row>
    <row r="310" customFormat="false" ht="15" hidden="false" customHeight="false" outlineLevel="0" collapsed="false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2"/>
      <c r="W310" s="22"/>
      <c r="X310" s="21"/>
    </row>
    <row r="311" customFormat="false" ht="15" hidden="false" customHeight="false" outlineLevel="0" collapsed="false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2"/>
      <c r="W311" s="22"/>
      <c r="X311" s="21"/>
    </row>
    <row r="312" customFormat="false" ht="15" hidden="false" customHeight="false" outlineLevel="0" collapsed="false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2"/>
      <c r="W312" s="22"/>
      <c r="X312" s="21"/>
    </row>
    <row r="313" customFormat="false" ht="15" hidden="false" customHeight="false" outlineLevel="0" collapsed="false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2"/>
      <c r="W313" s="22"/>
      <c r="X313" s="21"/>
    </row>
    <row r="314" customFormat="false" ht="15" hidden="false" customHeight="false" outlineLevel="0" collapsed="false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2"/>
      <c r="W314" s="22"/>
      <c r="X314" s="21"/>
    </row>
    <row r="315" customFormat="false" ht="15" hidden="false" customHeight="false" outlineLevel="0" collapsed="false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2"/>
      <c r="W315" s="22"/>
      <c r="X315" s="21"/>
    </row>
    <row r="316" customFormat="false" ht="15" hidden="false" customHeight="false" outlineLevel="0" collapsed="false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2"/>
      <c r="W316" s="22"/>
      <c r="X316" s="21"/>
    </row>
    <row r="317" customFormat="false" ht="15" hidden="false" customHeight="false" outlineLevel="0" collapsed="false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2"/>
      <c r="W317" s="22"/>
      <c r="X317" s="21"/>
    </row>
    <row r="318" customFormat="false" ht="15" hidden="false" customHeight="false" outlineLevel="0" collapsed="false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2"/>
      <c r="W318" s="22"/>
      <c r="X318" s="21"/>
    </row>
    <row r="319" customFormat="false" ht="15" hidden="false" customHeight="false" outlineLevel="0" collapsed="false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2"/>
      <c r="W319" s="22"/>
      <c r="X319" s="21"/>
    </row>
    <row r="320" customFormat="false" ht="15" hidden="false" customHeight="false" outlineLevel="0" collapsed="false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2"/>
      <c r="W320" s="22"/>
      <c r="X320" s="21"/>
    </row>
    <row r="321" customFormat="false" ht="15" hidden="false" customHeight="false" outlineLevel="0" collapsed="false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2"/>
      <c r="W321" s="22"/>
      <c r="X321" s="21"/>
    </row>
    <row r="322" customFormat="false" ht="15" hidden="false" customHeight="false" outlineLevel="0" collapsed="false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2"/>
      <c r="W322" s="22"/>
      <c r="X322" s="21"/>
    </row>
    <row r="323" customFormat="false" ht="15" hidden="false" customHeight="false" outlineLevel="0" collapsed="false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2"/>
      <c r="W323" s="22"/>
      <c r="X323" s="21"/>
    </row>
    <row r="324" customFormat="false" ht="15" hidden="false" customHeight="false" outlineLevel="0" collapsed="false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2"/>
      <c r="W324" s="22"/>
      <c r="X324" s="21"/>
    </row>
    <row r="325" customFormat="false" ht="15" hidden="false" customHeight="false" outlineLevel="0" collapsed="false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2"/>
      <c r="W325" s="22"/>
      <c r="X325" s="21"/>
    </row>
    <row r="326" customFormat="false" ht="15" hidden="false" customHeight="false" outlineLevel="0" collapsed="false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2"/>
      <c r="W326" s="22"/>
      <c r="X326" s="21"/>
    </row>
    <row r="327" customFormat="false" ht="15" hidden="false" customHeight="false" outlineLevel="0" collapsed="false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2"/>
      <c r="W327" s="22"/>
      <c r="X327" s="21"/>
    </row>
    <row r="328" customFormat="false" ht="15" hidden="false" customHeight="false" outlineLevel="0" collapsed="false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2"/>
      <c r="W328" s="22"/>
      <c r="X328" s="21"/>
    </row>
    <row r="329" customFormat="false" ht="15" hidden="false" customHeight="false" outlineLevel="0" collapsed="false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2"/>
      <c r="W329" s="22"/>
      <c r="X329" s="21"/>
    </row>
    <row r="330" customFormat="false" ht="15" hidden="false" customHeight="false" outlineLevel="0" collapsed="false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2"/>
      <c r="W330" s="22"/>
      <c r="X330" s="21"/>
    </row>
    <row r="331" customFormat="false" ht="15" hidden="false" customHeight="false" outlineLevel="0" collapsed="false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2"/>
      <c r="W331" s="22"/>
      <c r="X331" s="21"/>
    </row>
    <row r="332" customFormat="false" ht="15" hidden="false" customHeight="false" outlineLevel="0" collapsed="false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2"/>
      <c r="W332" s="22"/>
      <c r="X332" s="21"/>
    </row>
    <row r="333" customFormat="false" ht="15" hidden="false" customHeight="false" outlineLevel="0" collapsed="false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2"/>
      <c r="W333" s="22"/>
      <c r="X333" s="21"/>
    </row>
    <row r="334" customFormat="false" ht="15" hidden="false" customHeight="false" outlineLevel="0" collapsed="false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2"/>
      <c r="W334" s="22"/>
      <c r="X334" s="21"/>
    </row>
    <row r="335" customFormat="false" ht="15" hidden="false" customHeight="false" outlineLevel="0" collapsed="false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2"/>
      <c r="W335" s="22"/>
      <c r="X335" s="21"/>
    </row>
    <row r="336" customFormat="false" ht="15" hidden="false" customHeight="false" outlineLevel="0" collapsed="false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2"/>
      <c r="W336" s="22"/>
      <c r="X336" s="21"/>
    </row>
    <row r="337" customFormat="false" ht="15" hidden="false" customHeight="false" outlineLevel="0" collapsed="false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2"/>
      <c r="W337" s="22"/>
      <c r="X337" s="21"/>
    </row>
    <row r="338" customFormat="false" ht="15" hidden="false" customHeight="false" outlineLevel="0" collapsed="false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2"/>
      <c r="W338" s="22"/>
      <c r="X338" s="21"/>
    </row>
    <row r="339" customFormat="false" ht="15" hidden="false" customHeight="false" outlineLevel="0" collapsed="false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2"/>
      <c r="W339" s="22"/>
      <c r="X339" s="21"/>
    </row>
    <row r="340" customFormat="false" ht="15" hidden="false" customHeight="false" outlineLevel="0" collapsed="false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2"/>
      <c r="W340" s="22"/>
      <c r="X340" s="21"/>
    </row>
    <row r="341" customFormat="false" ht="15" hidden="false" customHeight="false" outlineLevel="0" collapsed="false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2"/>
      <c r="W341" s="22"/>
      <c r="X341" s="21"/>
    </row>
    <row r="342" customFormat="false" ht="15" hidden="false" customHeight="false" outlineLevel="0" collapsed="false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2"/>
      <c r="W342" s="22"/>
      <c r="X342" s="21"/>
    </row>
    <row r="343" customFormat="false" ht="15" hidden="false" customHeight="false" outlineLevel="0" collapsed="false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2"/>
      <c r="W343" s="22"/>
      <c r="X343" s="21"/>
    </row>
    <row r="344" customFormat="false" ht="15" hidden="false" customHeight="false" outlineLevel="0" collapsed="false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2"/>
      <c r="W344" s="22"/>
      <c r="X344" s="21"/>
    </row>
    <row r="345" customFormat="false" ht="15" hidden="false" customHeight="false" outlineLevel="0" collapsed="false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2"/>
      <c r="W345" s="22"/>
      <c r="X345" s="21"/>
    </row>
    <row r="346" customFormat="false" ht="15" hidden="false" customHeight="false" outlineLevel="0" collapsed="false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2"/>
      <c r="W346" s="22"/>
      <c r="X346" s="21"/>
    </row>
    <row r="347" customFormat="false" ht="15" hidden="false" customHeight="false" outlineLevel="0" collapsed="false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2"/>
      <c r="W347" s="22"/>
      <c r="X347" s="21"/>
    </row>
    <row r="348" customFormat="false" ht="15" hidden="false" customHeight="false" outlineLevel="0" collapsed="false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2"/>
      <c r="W348" s="22"/>
      <c r="X348" s="21"/>
    </row>
    <row r="349" customFormat="false" ht="15" hidden="false" customHeight="false" outlineLevel="0" collapsed="false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2"/>
      <c r="W349" s="22"/>
      <c r="X349" s="21"/>
    </row>
    <row r="350" customFormat="false" ht="15" hidden="false" customHeight="false" outlineLevel="0" collapsed="false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2"/>
      <c r="W350" s="22"/>
      <c r="X350" s="21"/>
    </row>
    <row r="351" customFormat="false" ht="15" hidden="false" customHeight="false" outlineLevel="0" collapsed="false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2"/>
      <c r="W351" s="22"/>
      <c r="X351" s="21"/>
    </row>
    <row r="352" customFormat="false" ht="15" hidden="false" customHeight="false" outlineLevel="0" collapsed="false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2"/>
      <c r="W352" s="22"/>
      <c r="X352" s="21"/>
    </row>
    <row r="353" customFormat="false" ht="15" hidden="false" customHeight="false" outlineLevel="0" collapsed="false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2"/>
      <c r="W353" s="22"/>
      <c r="X353" s="21"/>
    </row>
    <row r="354" customFormat="false" ht="15" hidden="false" customHeight="false" outlineLevel="0" collapsed="false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2"/>
      <c r="W354" s="22"/>
      <c r="X354" s="21"/>
    </row>
    <row r="355" customFormat="false" ht="15" hidden="false" customHeight="false" outlineLevel="0" collapsed="false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2"/>
      <c r="W355" s="22"/>
      <c r="X355" s="21"/>
    </row>
    <row r="356" customFormat="false" ht="15" hidden="false" customHeight="false" outlineLevel="0" collapsed="false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2"/>
      <c r="W356" s="22"/>
      <c r="X356" s="21"/>
    </row>
    <row r="357" customFormat="false" ht="15" hidden="false" customHeight="false" outlineLevel="0" collapsed="false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2"/>
      <c r="W357" s="22"/>
      <c r="X357" s="21"/>
    </row>
    <row r="358" customFormat="false" ht="15" hidden="false" customHeight="false" outlineLevel="0" collapsed="false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2"/>
      <c r="W358" s="22"/>
      <c r="X358" s="21"/>
    </row>
    <row r="359" customFormat="false" ht="15" hidden="false" customHeight="false" outlineLevel="0" collapsed="false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2"/>
      <c r="W359" s="22"/>
      <c r="X359" s="21"/>
    </row>
    <row r="360" customFormat="false" ht="15" hidden="false" customHeight="false" outlineLevel="0" collapsed="false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2"/>
      <c r="W360" s="22"/>
      <c r="X360" s="21"/>
    </row>
    <row r="361" customFormat="false" ht="15" hidden="false" customHeight="false" outlineLevel="0" collapsed="false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2"/>
      <c r="W361" s="22"/>
      <c r="X361" s="21"/>
    </row>
    <row r="362" customFormat="false" ht="15" hidden="false" customHeight="false" outlineLevel="0" collapsed="false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2"/>
      <c r="W362" s="22"/>
      <c r="X362" s="21"/>
    </row>
    <row r="363" customFormat="false" ht="15" hidden="false" customHeight="false" outlineLevel="0" collapsed="false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2"/>
      <c r="W363" s="22"/>
      <c r="X363" s="21"/>
    </row>
    <row r="364" customFormat="false" ht="15" hidden="false" customHeight="false" outlineLevel="0" collapsed="false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2"/>
      <c r="W364" s="22"/>
      <c r="X364" s="21"/>
    </row>
    <row r="365" customFormat="false" ht="15" hidden="false" customHeight="false" outlineLevel="0" collapsed="false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2"/>
      <c r="W365" s="22"/>
      <c r="X365" s="21"/>
    </row>
    <row r="366" customFormat="false" ht="15" hidden="false" customHeight="false" outlineLevel="0" collapsed="false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2"/>
      <c r="W366" s="22"/>
      <c r="X366" s="21"/>
    </row>
    <row r="367" customFormat="false" ht="15" hidden="false" customHeight="false" outlineLevel="0" collapsed="false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2"/>
      <c r="W367" s="22"/>
      <c r="X367" s="21"/>
    </row>
    <row r="368" customFormat="false" ht="15" hidden="false" customHeight="false" outlineLevel="0" collapsed="false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2"/>
      <c r="W368" s="22"/>
      <c r="X368" s="21"/>
    </row>
    <row r="369" customFormat="false" ht="15" hidden="false" customHeight="false" outlineLevel="0" collapsed="false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2"/>
      <c r="W369" s="22"/>
      <c r="X369" s="21"/>
    </row>
    <row r="370" customFormat="false" ht="15" hidden="false" customHeight="false" outlineLevel="0" collapsed="false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2"/>
      <c r="W370" s="22"/>
      <c r="X370" s="21"/>
    </row>
    <row r="371" customFormat="false" ht="15" hidden="false" customHeight="false" outlineLevel="0" collapsed="false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2"/>
      <c r="W371" s="22"/>
      <c r="X371" s="21"/>
    </row>
    <row r="372" customFormat="false" ht="15" hidden="false" customHeight="false" outlineLevel="0" collapsed="false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2"/>
      <c r="W372" s="22"/>
      <c r="X372" s="21"/>
    </row>
    <row r="373" customFormat="false" ht="15" hidden="false" customHeight="false" outlineLevel="0" collapsed="false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2"/>
      <c r="W373" s="22"/>
      <c r="X373" s="21"/>
    </row>
    <row r="374" customFormat="false" ht="15" hidden="false" customHeight="false" outlineLevel="0" collapsed="false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2"/>
      <c r="W374" s="22"/>
      <c r="X374" s="21"/>
    </row>
    <row r="375" customFormat="false" ht="15" hidden="false" customHeight="false" outlineLevel="0" collapsed="false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2"/>
      <c r="W375" s="22"/>
      <c r="X375" s="21"/>
    </row>
    <row r="376" customFormat="false" ht="15" hidden="false" customHeight="false" outlineLevel="0" collapsed="false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2"/>
      <c r="W376" s="22"/>
      <c r="X376" s="21"/>
    </row>
    <row r="377" customFormat="false" ht="15" hidden="false" customHeight="false" outlineLevel="0" collapsed="false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2"/>
      <c r="W377" s="22"/>
      <c r="X377" s="21"/>
    </row>
    <row r="378" customFormat="false" ht="15" hidden="false" customHeight="false" outlineLevel="0" collapsed="false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2"/>
      <c r="W378" s="22"/>
      <c r="X378" s="21"/>
    </row>
    <row r="379" customFormat="false" ht="15" hidden="false" customHeight="false" outlineLevel="0" collapsed="false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2"/>
      <c r="W379" s="22"/>
      <c r="X379" s="21"/>
    </row>
    <row r="380" customFormat="false" ht="15" hidden="false" customHeight="false" outlineLevel="0" collapsed="false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2"/>
      <c r="W380" s="22"/>
      <c r="X380" s="21"/>
    </row>
    <row r="381" customFormat="false" ht="15" hidden="false" customHeight="false" outlineLevel="0" collapsed="false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2"/>
      <c r="W381" s="22"/>
      <c r="X381" s="21"/>
    </row>
    <row r="382" customFormat="false" ht="15" hidden="false" customHeight="false" outlineLevel="0" collapsed="false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2"/>
      <c r="W382" s="22"/>
      <c r="X382" s="21"/>
    </row>
    <row r="383" customFormat="false" ht="15" hidden="false" customHeight="false" outlineLevel="0" collapsed="false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2"/>
      <c r="W383" s="22"/>
      <c r="X383" s="21"/>
    </row>
    <row r="384" customFormat="false" ht="15" hidden="false" customHeight="false" outlineLevel="0" collapsed="false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2"/>
      <c r="W384" s="22"/>
      <c r="X384" s="21"/>
    </row>
    <row r="385" customFormat="false" ht="15" hidden="false" customHeight="false" outlineLevel="0" collapsed="false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2"/>
      <c r="W385" s="22"/>
      <c r="X385" s="21"/>
    </row>
    <row r="386" customFormat="false" ht="15" hidden="false" customHeight="false" outlineLevel="0" collapsed="false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2"/>
      <c r="W386" s="22"/>
      <c r="X386" s="21"/>
    </row>
    <row r="387" customFormat="false" ht="15" hidden="false" customHeight="false" outlineLevel="0" collapsed="false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2"/>
      <c r="W387" s="22"/>
      <c r="X387" s="21"/>
    </row>
    <row r="388" customFormat="false" ht="15" hidden="false" customHeight="false" outlineLevel="0" collapsed="false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2"/>
      <c r="W388" s="22"/>
      <c r="X388" s="21"/>
    </row>
    <row r="389" customFormat="false" ht="15" hidden="false" customHeight="false" outlineLevel="0" collapsed="false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2"/>
      <c r="W389" s="22"/>
      <c r="X389" s="21"/>
    </row>
    <row r="390" customFormat="false" ht="15" hidden="false" customHeight="false" outlineLevel="0" collapsed="false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2"/>
      <c r="W390" s="22"/>
      <c r="X390" s="21"/>
    </row>
    <row r="391" customFormat="false" ht="15" hidden="false" customHeight="false" outlineLevel="0" collapsed="false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2"/>
      <c r="W391" s="22"/>
      <c r="X391" s="21"/>
    </row>
    <row r="392" customFormat="false" ht="15" hidden="false" customHeight="false" outlineLevel="0" collapsed="false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2"/>
      <c r="W392" s="22"/>
      <c r="X392" s="21"/>
    </row>
    <row r="393" customFormat="false" ht="15" hidden="false" customHeight="false" outlineLevel="0" collapsed="false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2"/>
      <c r="W393" s="22"/>
      <c r="X393" s="21"/>
    </row>
    <row r="394" customFormat="false" ht="15" hidden="false" customHeight="false" outlineLevel="0" collapsed="false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2"/>
      <c r="W394" s="22"/>
      <c r="X394" s="21"/>
    </row>
    <row r="395" customFormat="false" ht="15" hidden="false" customHeight="false" outlineLevel="0" collapsed="false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2"/>
      <c r="W395" s="22"/>
      <c r="X395" s="21"/>
    </row>
    <row r="396" customFormat="false" ht="15" hidden="false" customHeight="false" outlineLevel="0" collapsed="false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2"/>
      <c r="W396" s="22"/>
      <c r="X396" s="21"/>
    </row>
    <row r="397" customFormat="false" ht="15" hidden="false" customHeight="false" outlineLevel="0" collapsed="false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2"/>
      <c r="W397" s="22"/>
      <c r="X397" s="21"/>
    </row>
    <row r="398" customFormat="false" ht="15" hidden="false" customHeight="false" outlineLevel="0" collapsed="false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2"/>
      <c r="W398" s="22"/>
      <c r="X398" s="21"/>
    </row>
    <row r="399" customFormat="false" ht="15" hidden="false" customHeight="false" outlineLevel="0" collapsed="false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2"/>
      <c r="W399" s="22"/>
      <c r="X399" s="21"/>
    </row>
    <row r="400" customFormat="false" ht="15" hidden="false" customHeight="false" outlineLevel="0" collapsed="false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2"/>
      <c r="W400" s="22"/>
      <c r="X400" s="21"/>
    </row>
    <row r="401" customFormat="false" ht="15" hidden="false" customHeight="false" outlineLevel="0" collapsed="false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2"/>
      <c r="W401" s="22"/>
      <c r="X401" s="21"/>
    </row>
    <row r="402" customFormat="false" ht="15" hidden="false" customHeight="false" outlineLevel="0" collapsed="false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2"/>
      <c r="W402" s="22"/>
      <c r="X402" s="21"/>
    </row>
    <row r="403" customFormat="false" ht="15" hidden="false" customHeight="false" outlineLevel="0" collapsed="false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2"/>
      <c r="W403" s="22"/>
      <c r="X403" s="21"/>
    </row>
    <row r="404" customFormat="false" ht="15" hidden="false" customHeight="false" outlineLevel="0" collapsed="false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2"/>
      <c r="W404" s="22"/>
      <c r="X404" s="21"/>
    </row>
    <row r="405" customFormat="false" ht="15" hidden="false" customHeight="false" outlineLevel="0" collapsed="false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2"/>
      <c r="W405" s="22"/>
      <c r="X405" s="21"/>
    </row>
    <row r="406" customFormat="false" ht="15" hidden="false" customHeight="false" outlineLevel="0" collapsed="false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2"/>
      <c r="W406" s="22"/>
      <c r="X406" s="21"/>
    </row>
    <row r="407" customFormat="false" ht="15" hidden="false" customHeight="false" outlineLevel="0" collapsed="false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2"/>
      <c r="W407" s="22"/>
      <c r="X407" s="21"/>
    </row>
    <row r="408" customFormat="false" ht="15" hidden="false" customHeight="false" outlineLevel="0" collapsed="false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2"/>
      <c r="W408" s="22"/>
      <c r="X408" s="21"/>
    </row>
    <row r="409" customFormat="false" ht="15" hidden="false" customHeight="false" outlineLevel="0" collapsed="false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2"/>
      <c r="W409" s="22"/>
      <c r="X409" s="21"/>
    </row>
    <row r="410" customFormat="false" ht="15" hidden="false" customHeight="false" outlineLevel="0" collapsed="false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2"/>
      <c r="W410" s="22"/>
      <c r="X410" s="21"/>
    </row>
    <row r="411" customFormat="false" ht="15" hidden="false" customHeight="false" outlineLevel="0" collapsed="false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2"/>
      <c r="W411" s="22"/>
      <c r="X411" s="21"/>
    </row>
    <row r="412" customFormat="false" ht="15" hidden="false" customHeight="false" outlineLevel="0" collapsed="false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2"/>
      <c r="W412" s="22"/>
      <c r="X412" s="21"/>
    </row>
    <row r="413" customFormat="false" ht="15" hidden="false" customHeight="false" outlineLevel="0" collapsed="false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2"/>
      <c r="W413" s="22"/>
      <c r="X413" s="21"/>
    </row>
    <row r="414" customFormat="false" ht="15" hidden="false" customHeight="false" outlineLevel="0" collapsed="false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2"/>
      <c r="W414" s="22"/>
      <c r="X414" s="21"/>
    </row>
    <row r="415" customFormat="false" ht="15" hidden="false" customHeight="false" outlineLevel="0" collapsed="false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2"/>
      <c r="W415" s="22"/>
      <c r="X415" s="21"/>
    </row>
    <row r="416" customFormat="false" ht="15" hidden="false" customHeight="false" outlineLevel="0" collapsed="false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2"/>
      <c r="W416" s="22"/>
      <c r="X416" s="21"/>
    </row>
    <row r="417" customFormat="false" ht="15" hidden="false" customHeight="false" outlineLevel="0" collapsed="false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2"/>
      <c r="W417" s="22"/>
      <c r="X417" s="21"/>
    </row>
    <row r="418" customFormat="false" ht="15" hidden="false" customHeight="false" outlineLevel="0" collapsed="false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2"/>
      <c r="W418" s="22"/>
      <c r="X418" s="21"/>
    </row>
    <row r="419" customFormat="false" ht="15" hidden="false" customHeight="false" outlineLevel="0" collapsed="false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2"/>
      <c r="W419" s="22"/>
      <c r="X419" s="21"/>
    </row>
    <row r="420" customFormat="false" ht="15" hidden="false" customHeight="false" outlineLevel="0" collapsed="false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2"/>
      <c r="W420" s="22"/>
      <c r="X420" s="21"/>
    </row>
    <row r="421" customFormat="false" ht="15" hidden="false" customHeight="false" outlineLevel="0" collapsed="false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2"/>
      <c r="W421" s="22"/>
      <c r="X421" s="21"/>
    </row>
    <row r="422" customFormat="false" ht="15" hidden="false" customHeight="false" outlineLevel="0" collapsed="false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2"/>
      <c r="W422" s="22"/>
      <c r="X422" s="21"/>
    </row>
    <row r="423" customFormat="false" ht="15" hidden="false" customHeight="false" outlineLevel="0" collapsed="false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2"/>
      <c r="W423" s="22"/>
      <c r="X423" s="21"/>
    </row>
    <row r="424" customFormat="false" ht="15" hidden="false" customHeight="false" outlineLevel="0" collapsed="false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2"/>
      <c r="W424" s="22"/>
      <c r="X424" s="21"/>
    </row>
    <row r="425" customFormat="false" ht="15" hidden="false" customHeight="false" outlineLevel="0" collapsed="false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2"/>
      <c r="W425" s="22"/>
      <c r="X425" s="21"/>
    </row>
    <row r="426" customFormat="false" ht="15" hidden="false" customHeight="false" outlineLevel="0" collapsed="false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2"/>
      <c r="W426" s="22"/>
      <c r="X426" s="21"/>
    </row>
    <row r="427" customFormat="false" ht="15" hidden="false" customHeight="false" outlineLevel="0" collapsed="false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2"/>
      <c r="W427" s="22"/>
      <c r="X427" s="21"/>
    </row>
    <row r="428" customFormat="false" ht="15" hidden="false" customHeight="false" outlineLevel="0" collapsed="false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2"/>
      <c r="W428" s="22"/>
      <c r="X428" s="21"/>
    </row>
    <row r="429" customFormat="false" ht="15" hidden="false" customHeight="false" outlineLevel="0" collapsed="false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2"/>
      <c r="W429" s="22"/>
      <c r="X429" s="21"/>
    </row>
    <row r="430" customFormat="false" ht="15" hidden="false" customHeight="false" outlineLevel="0" collapsed="false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2"/>
      <c r="W430" s="22"/>
      <c r="X430" s="21"/>
    </row>
    <row r="431" customFormat="false" ht="15" hidden="false" customHeight="false" outlineLevel="0" collapsed="false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2"/>
      <c r="W431" s="22"/>
      <c r="X431" s="21"/>
    </row>
    <row r="432" customFormat="false" ht="15" hidden="false" customHeight="false" outlineLevel="0" collapsed="false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2"/>
      <c r="W432" s="22"/>
      <c r="X432" s="21"/>
    </row>
    <row r="433" customFormat="false" ht="15" hidden="false" customHeight="false" outlineLevel="0" collapsed="false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2"/>
      <c r="W433" s="22"/>
      <c r="X433" s="21"/>
    </row>
    <row r="434" customFormat="false" ht="15" hidden="false" customHeight="false" outlineLevel="0" collapsed="false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2"/>
      <c r="W434" s="22"/>
      <c r="X434" s="21"/>
    </row>
    <row r="435" customFormat="false" ht="15" hidden="false" customHeight="false" outlineLevel="0" collapsed="false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2"/>
      <c r="W435" s="22"/>
      <c r="X435" s="21"/>
    </row>
    <row r="436" customFormat="false" ht="15" hidden="false" customHeight="false" outlineLevel="0" collapsed="false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2"/>
      <c r="W436" s="22"/>
      <c r="X436" s="21"/>
    </row>
    <row r="437" customFormat="false" ht="15" hidden="false" customHeight="false" outlineLevel="0" collapsed="false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2"/>
      <c r="W437" s="22"/>
      <c r="X437" s="21"/>
    </row>
    <row r="438" customFormat="false" ht="15" hidden="false" customHeight="false" outlineLevel="0" collapsed="false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2"/>
      <c r="W438" s="22"/>
      <c r="X438" s="21"/>
    </row>
    <row r="439" customFormat="false" ht="15" hidden="false" customHeight="false" outlineLevel="0" collapsed="false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2"/>
      <c r="W439" s="22"/>
      <c r="X439" s="21"/>
    </row>
    <row r="440" customFormat="false" ht="15" hidden="false" customHeight="false" outlineLevel="0" collapsed="false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2"/>
      <c r="W440" s="22"/>
      <c r="X440" s="21"/>
    </row>
    <row r="441" customFormat="false" ht="15" hidden="false" customHeight="false" outlineLevel="0" collapsed="false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2"/>
      <c r="W441" s="22"/>
      <c r="X441" s="21"/>
    </row>
    <row r="442" customFormat="false" ht="15" hidden="false" customHeight="false" outlineLevel="0" collapsed="false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2"/>
      <c r="W442" s="22"/>
      <c r="X442" s="21"/>
    </row>
    <row r="443" customFormat="false" ht="15" hidden="false" customHeight="false" outlineLevel="0" collapsed="false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2"/>
      <c r="W443" s="22"/>
      <c r="X443" s="21"/>
    </row>
    <row r="444" customFormat="false" ht="15" hidden="false" customHeight="false" outlineLevel="0" collapsed="false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2"/>
      <c r="W444" s="22"/>
      <c r="X444" s="21"/>
    </row>
    <row r="445" customFormat="false" ht="15" hidden="false" customHeight="false" outlineLevel="0" collapsed="false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2"/>
      <c r="W445" s="22"/>
      <c r="X445" s="21"/>
    </row>
    <row r="446" customFormat="false" ht="15" hidden="false" customHeight="false" outlineLevel="0" collapsed="false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2"/>
      <c r="W446" s="22"/>
      <c r="X446" s="21"/>
    </row>
    <row r="447" customFormat="false" ht="15" hidden="false" customHeight="false" outlineLevel="0" collapsed="false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2"/>
      <c r="W447" s="22"/>
      <c r="X447" s="21"/>
    </row>
    <row r="448" customFormat="false" ht="15" hidden="false" customHeight="false" outlineLevel="0" collapsed="false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2"/>
      <c r="W448" s="22"/>
      <c r="X448" s="21"/>
    </row>
    <row r="449" customFormat="false" ht="15" hidden="false" customHeight="false" outlineLevel="0" collapsed="false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2"/>
      <c r="W449" s="22"/>
      <c r="X449" s="21"/>
    </row>
    <row r="450" customFormat="false" ht="15" hidden="false" customHeight="false" outlineLevel="0" collapsed="false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2"/>
      <c r="W450" s="22"/>
      <c r="X450" s="21"/>
    </row>
    <row r="451" customFormat="false" ht="15" hidden="false" customHeight="false" outlineLevel="0" collapsed="false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2"/>
      <c r="W451" s="22"/>
      <c r="X451" s="21"/>
    </row>
    <row r="452" customFormat="false" ht="15" hidden="false" customHeight="false" outlineLevel="0" collapsed="false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2"/>
      <c r="W452" s="22"/>
      <c r="X452" s="21"/>
    </row>
    <row r="453" customFormat="false" ht="15" hidden="false" customHeight="false" outlineLevel="0" collapsed="false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2"/>
      <c r="W453" s="22"/>
      <c r="X453" s="21"/>
    </row>
    <row r="454" customFormat="false" ht="15" hidden="false" customHeight="false" outlineLevel="0" collapsed="false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2"/>
      <c r="W454" s="22"/>
      <c r="X454" s="21"/>
    </row>
    <row r="455" customFormat="false" ht="15" hidden="false" customHeight="false" outlineLevel="0" collapsed="false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2"/>
      <c r="W455" s="22"/>
      <c r="X455" s="21"/>
    </row>
    <row r="456" customFormat="false" ht="15" hidden="false" customHeight="false" outlineLevel="0" collapsed="false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2"/>
      <c r="W456" s="22"/>
      <c r="X456" s="21"/>
    </row>
    <row r="457" customFormat="false" ht="15" hidden="false" customHeight="false" outlineLevel="0" collapsed="false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2"/>
      <c r="W457" s="22"/>
      <c r="X457" s="21"/>
    </row>
    <row r="458" customFormat="false" ht="15" hidden="false" customHeight="false" outlineLevel="0" collapsed="false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2"/>
      <c r="W458" s="22"/>
      <c r="X458" s="21"/>
    </row>
    <row r="459" customFormat="false" ht="15" hidden="false" customHeight="false" outlineLevel="0" collapsed="false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2"/>
      <c r="W459" s="22"/>
      <c r="X459" s="21"/>
    </row>
    <row r="460" customFormat="false" ht="15" hidden="false" customHeight="false" outlineLevel="0" collapsed="false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2"/>
      <c r="W460" s="22"/>
      <c r="X460" s="21"/>
    </row>
    <row r="461" customFormat="false" ht="15" hidden="false" customHeight="false" outlineLevel="0" collapsed="false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2"/>
      <c r="W461" s="22"/>
      <c r="X461" s="21"/>
    </row>
    <row r="462" customFormat="false" ht="15" hidden="false" customHeight="false" outlineLevel="0" collapsed="false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2"/>
      <c r="W462" s="22"/>
      <c r="X462" s="21"/>
    </row>
    <row r="463" customFormat="false" ht="15" hidden="false" customHeight="false" outlineLevel="0" collapsed="false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2"/>
      <c r="W463" s="22"/>
      <c r="X463" s="21"/>
    </row>
    <row r="464" customFormat="false" ht="15" hidden="false" customHeight="false" outlineLevel="0" collapsed="false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2"/>
      <c r="W464" s="22"/>
      <c r="X464" s="21"/>
    </row>
    <row r="465" customFormat="false" ht="15" hidden="false" customHeight="false" outlineLevel="0" collapsed="false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2"/>
      <c r="W465" s="22"/>
      <c r="X465" s="21"/>
    </row>
    <row r="466" customFormat="false" ht="15" hidden="false" customHeight="false" outlineLevel="0" collapsed="false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2"/>
      <c r="W466" s="22"/>
      <c r="X466" s="21"/>
    </row>
    <row r="467" customFormat="false" ht="15" hidden="false" customHeight="false" outlineLevel="0" collapsed="false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2"/>
      <c r="W467" s="22"/>
      <c r="X467" s="21"/>
    </row>
    <row r="468" customFormat="false" ht="15" hidden="false" customHeight="false" outlineLevel="0" collapsed="false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2"/>
      <c r="W468" s="22"/>
      <c r="X468" s="21"/>
    </row>
    <row r="469" customFormat="false" ht="15" hidden="false" customHeight="false" outlineLevel="0" collapsed="false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2"/>
      <c r="W469" s="22"/>
      <c r="X469" s="21"/>
    </row>
    <row r="470" customFormat="false" ht="15" hidden="false" customHeight="false" outlineLevel="0" collapsed="false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2"/>
      <c r="W470" s="22"/>
      <c r="X470" s="21"/>
    </row>
    <row r="471" customFormat="false" ht="15" hidden="false" customHeight="false" outlineLevel="0" collapsed="false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2"/>
      <c r="W471" s="22"/>
      <c r="X471" s="21"/>
    </row>
    <row r="472" customFormat="false" ht="15" hidden="false" customHeight="false" outlineLevel="0" collapsed="false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2"/>
      <c r="W472" s="22"/>
      <c r="X472" s="21"/>
    </row>
    <row r="473" customFormat="false" ht="15" hidden="false" customHeight="false" outlineLevel="0" collapsed="false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2"/>
      <c r="W473" s="22"/>
      <c r="X473" s="21"/>
    </row>
    <row r="474" customFormat="false" ht="15" hidden="false" customHeight="false" outlineLevel="0" collapsed="false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2"/>
      <c r="W474" s="22"/>
      <c r="X474" s="21"/>
    </row>
    <row r="475" customFormat="false" ht="15" hidden="false" customHeight="false" outlineLevel="0" collapsed="false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2"/>
      <c r="W475" s="22"/>
      <c r="X475" s="21"/>
    </row>
    <row r="476" customFormat="false" ht="15" hidden="false" customHeight="false" outlineLevel="0" collapsed="false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2"/>
      <c r="W476" s="22"/>
      <c r="X476" s="21"/>
    </row>
    <row r="477" customFormat="false" ht="15" hidden="false" customHeight="false" outlineLevel="0" collapsed="false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2"/>
      <c r="W477" s="22"/>
      <c r="X477" s="21"/>
    </row>
    <row r="478" customFormat="false" ht="15" hidden="false" customHeight="false" outlineLevel="0" collapsed="false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2"/>
      <c r="W478" s="22"/>
      <c r="X478" s="21"/>
    </row>
    <row r="479" customFormat="false" ht="15" hidden="false" customHeight="false" outlineLevel="0" collapsed="false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2"/>
      <c r="W479" s="22"/>
      <c r="X479" s="21"/>
    </row>
    <row r="480" customFormat="false" ht="15" hidden="false" customHeight="false" outlineLevel="0" collapsed="false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2"/>
      <c r="W480" s="22"/>
      <c r="X480" s="21"/>
    </row>
    <row r="481" customFormat="false" ht="15" hidden="false" customHeight="false" outlineLevel="0" collapsed="false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2"/>
      <c r="W481" s="22"/>
      <c r="X481" s="21"/>
    </row>
    <row r="482" customFormat="false" ht="15" hidden="false" customHeight="false" outlineLevel="0" collapsed="false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2"/>
      <c r="W482" s="22"/>
      <c r="X482" s="21"/>
    </row>
    <row r="483" customFormat="false" ht="15" hidden="false" customHeight="false" outlineLevel="0" collapsed="false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2"/>
      <c r="W483" s="22"/>
      <c r="X483" s="21"/>
    </row>
    <row r="484" customFormat="false" ht="15" hidden="false" customHeight="false" outlineLevel="0" collapsed="false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2"/>
      <c r="W484" s="22"/>
      <c r="X484" s="21"/>
    </row>
    <row r="485" customFormat="false" ht="15" hidden="false" customHeight="false" outlineLevel="0" collapsed="false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2"/>
      <c r="W485" s="22"/>
      <c r="X485" s="21"/>
    </row>
    <row r="486" customFormat="false" ht="15" hidden="false" customHeight="false" outlineLevel="0" collapsed="false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2"/>
      <c r="W486" s="22"/>
      <c r="X486" s="21"/>
    </row>
    <row r="487" customFormat="false" ht="15" hidden="false" customHeight="false" outlineLevel="0" collapsed="false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2"/>
      <c r="W487" s="22"/>
      <c r="X487" s="21"/>
    </row>
    <row r="488" customFormat="false" ht="15" hidden="false" customHeight="false" outlineLevel="0" collapsed="false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2"/>
      <c r="W488" s="22"/>
      <c r="X488" s="21"/>
    </row>
    <row r="489" customFormat="false" ht="15" hidden="false" customHeight="false" outlineLevel="0" collapsed="false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2"/>
      <c r="W489" s="22"/>
      <c r="X489" s="21"/>
    </row>
    <row r="490" customFormat="false" ht="15" hidden="false" customHeight="false" outlineLevel="0" collapsed="false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2"/>
      <c r="W490" s="22"/>
      <c r="X490" s="21"/>
    </row>
    <row r="491" customFormat="false" ht="15" hidden="false" customHeight="false" outlineLevel="0" collapsed="false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2"/>
      <c r="W491" s="22"/>
      <c r="X491" s="21"/>
    </row>
    <row r="492" customFormat="false" ht="15" hidden="false" customHeight="false" outlineLevel="0" collapsed="false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2"/>
      <c r="W492" s="22"/>
      <c r="X492" s="21"/>
    </row>
    <row r="493" customFormat="false" ht="15" hidden="false" customHeight="false" outlineLevel="0" collapsed="false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2"/>
      <c r="W493" s="22"/>
      <c r="X493" s="21"/>
    </row>
    <row r="494" customFormat="false" ht="15" hidden="false" customHeight="false" outlineLevel="0" collapsed="false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2"/>
      <c r="W494" s="22"/>
      <c r="X494" s="21"/>
    </row>
    <row r="495" customFormat="false" ht="15" hidden="false" customHeight="false" outlineLevel="0" collapsed="false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2"/>
      <c r="W495" s="22"/>
      <c r="X495" s="21"/>
    </row>
    <row r="496" customFormat="false" ht="15" hidden="false" customHeight="false" outlineLevel="0" collapsed="false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2"/>
      <c r="W496" s="22"/>
      <c r="X496" s="21"/>
    </row>
    <row r="497" customFormat="false" ht="15" hidden="false" customHeight="false" outlineLevel="0" collapsed="false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2"/>
      <c r="W497" s="22"/>
      <c r="X497" s="21"/>
    </row>
    <row r="498" customFormat="false" ht="15" hidden="false" customHeight="false" outlineLevel="0" collapsed="false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2"/>
      <c r="W498" s="22"/>
      <c r="X498" s="21"/>
    </row>
    <row r="499" customFormat="false" ht="15" hidden="false" customHeight="false" outlineLevel="0" collapsed="false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2"/>
      <c r="W499" s="22"/>
      <c r="X499" s="21"/>
    </row>
    <row r="500" customFormat="false" ht="15" hidden="false" customHeight="false" outlineLevel="0" collapsed="false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2"/>
      <c r="W500" s="22"/>
      <c r="X500" s="21"/>
    </row>
    <row r="501" customFormat="false" ht="15" hidden="false" customHeight="false" outlineLevel="0" collapsed="false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2"/>
      <c r="W501" s="22"/>
      <c r="X501" s="21"/>
    </row>
    <row r="502" customFormat="false" ht="15" hidden="false" customHeight="false" outlineLevel="0" collapsed="false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2"/>
      <c r="W502" s="22"/>
      <c r="X502" s="21"/>
    </row>
    <row r="503" customFormat="false" ht="15" hidden="false" customHeight="false" outlineLevel="0" collapsed="false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2"/>
      <c r="W503" s="22"/>
      <c r="X503" s="21"/>
    </row>
    <row r="504" customFormat="false" ht="15" hidden="false" customHeight="false" outlineLevel="0" collapsed="false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2"/>
      <c r="W504" s="22"/>
      <c r="X504" s="21"/>
    </row>
    <row r="505" customFormat="false" ht="15" hidden="false" customHeight="false" outlineLevel="0" collapsed="false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2"/>
      <c r="W505" s="22"/>
      <c r="X505" s="21"/>
    </row>
    <row r="506" customFormat="false" ht="15" hidden="false" customHeight="false" outlineLevel="0" collapsed="false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2"/>
      <c r="W506" s="22"/>
      <c r="X506" s="21"/>
    </row>
    <row r="507" customFormat="false" ht="15" hidden="false" customHeight="false" outlineLevel="0" collapsed="false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2"/>
      <c r="W507" s="22"/>
      <c r="X507" s="21"/>
    </row>
    <row r="508" customFormat="false" ht="15" hidden="false" customHeight="false" outlineLevel="0" collapsed="false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2"/>
      <c r="W508" s="22"/>
      <c r="X508" s="21"/>
    </row>
    <row r="509" customFormat="false" ht="15" hidden="false" customHeight="false" outlineLevel="0" collapsed="false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2"/>
      <c r="W509" s="22"/>
      <c r="X509" s="21"/>
    </row>
    <row r="510" customFormat="false" ht="15" hidden="false" customHeight="false" outlineLevel="0" collapsed="false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2"/>
      <c r="W510" s="22"/>
      <c r="X510" s="21"/>
    </row>
    <row r="511" customFormat="false" ht="15" hidden="false" customHeight="false" outlineLevel="0" collapsed="false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2"/>
      <c r="W511" s="22"/>
      <c r="X511" s="21"/>
    </row>
    <row r="512" customFormat="false" ht="15" hidden="false" customHeight="false" outlineLevel="0" collapsed="false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2"/>
      <c r="W512" s="22"/>
      <c r="X512" s="21"/>
    </row>
    <row r="513" customFormat="false" ht="15" hidden="false" customHeight="false" outlineLevel="0" collapsed="false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2"/>
      <c r="W513" s="22"/>
      <c r="X513" s="21"/>
    </row>
    <row r="514" customFormat="false" ht="15" hidden="false" customHeight="false" outlineLevel="0" collapsed="false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2"/>
      <c r="W514" s="22"/>
      <c r="X514" s="21"/>
    </row>
    <row r="515" customFormat="false" ht="15" hidden="false" customHeight="false" outlineLevel="0" collapsed="false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2"/>
      <c r="W515" s="22"/>
      <c r="X515" s="21"/>
    </row>
    <row r="516" customFormat="false" ht="15" hidden="false" customHeight="false" outlineLevel="0" collapsed="false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2"/>
      <c r="W516" s="22"/>
      <c r="X516" s="21"/>
    </row>
    <row r="517" customFormat="false" ht="15" hidden="false" customHeight="false" outlineLevel="0" collapsed="false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2"/>
      <c r="W517" s="22"/>
      <c r="X517" s="21"/>
    </row>
    <row r="518" customFormat="false" ht="15" hidden="false" customHeight="false" outlineLevel="0" collapsed="false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2"/>
      <c r="W518" s="22"/>
      <c r="X518" s="21"/>
    </row>
    <row r="519" customFormat="false" ht="15" hidden="false" customHeight="false" outlineLevel="0" collapsed="false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2"/>
      <c r="W519" s="22"/>
      <c r="X519" s="21"/>
    </row>
    <row r="520" customFormat="false" ht="15" hidden="false" customHeight="false" outlineLevel="0" collapsed="false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2"/>
      <c r="W520" s="22"/>
      <c r="X520" s="21"/>
    </row>
    <row r="521" customFormat="false" ht="15" hidden="false" customHeight="false" outlineLevel="0" collapsed="false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2"/>
      <c r="W521" s="22"/>
      <c r="X521" s="21"/>
    </row>
    <row r="522" customFormat="false" ht="15" hidden="false" customHeight="false" outlineLevel="0" collapsed="false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2"/>
      <c r="W522" s="22"/>
      <c r="X522" s="21"/>
    </row>
    <row r="523" customFormat="false" ht="15" hidden="false" customHeight="false" outlineLevel="0" collapsed="false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2"/>
      <c r="W523" s="22"/>
      <c r="X523" s="21"/>
    </row>
    <row r="524" customFormat="false" ht="15" hidden="false" customHeight="false" outlineLevel="0" collapsed="false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2"/>
      <c r="W524" s="22"/>
      <c r="X524" s="21"/>
    </row>
    <row r="525" customFormat="false" ht="15" hidden="false" customHeight="false" outlineLevel="0" collapsed="false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2"/>
      <c r="W525" s="22"/>
      <c r="X525" s="21"/>
    </row>
    <row r="526" customFormat="false" ht="15" hidden="false" customHeight="false" outlineLevel="0" collapsed="false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2"/>
      <c r="W526" s="22"/>
      <c r="X526" s="21"/>
    </row>
    <row r="527" customFormat="false" ht="15" hidden="false" customHeight="false" outlineLevel="0" collapsed="false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2"/>
      <c r="W527" s="22"/>
      <c r="X527" s="21"/>
    </row>
    <row r="528" customFormat="false" ht="15" hidden="false" customHeight="false" outlineLevel="0" collapsed="false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2"/>
      <c r="W528" s="22"/>
      <c r="X528" s="21"/>
    </row>
    <row r="529" customFormat="false" ht="15" hidden="false" customHeight="false" outlineLevel="0" collapsed="false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2"/>
      <c r="W529" s="22"/>
      <c r="X529" s="21"/>
    </row>
    <row r="530" customFormat="false" ht="15" hidden="false" customHeight="false" outlineLevel="0" collapsed="false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2"/>
      <c r="W530" s="22"/>
      <c r="X530" s="21"/>
    </row>
    <row r="531" customFormat="false" ht="15" hidden="false" customHeight="false" outlineLevel="0" collapsed="false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2"/>
      <c r="W531" s="22"/>
      <c r="X531" s="21"/>
    </row>
    <row r="532" customFormat="false" ht="15" hidden="false" customHeight="false" outlineLevel="0" collapsed="false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2"/>
      <c r="W532" s="22"/>
      <c r="X532" s="21"/>
    </row>
    <row r="533" customFormat="false" ht="15" hidden="false" customHeight="false" outlineLevel="0" collapsed="false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2"/>
      <c r="W533" s="22"/>
      <c r="X533" s="21"/>
    </row>
    <row r="534" customFormat="false" ht="15" hidden="false" customHeight="false" outlineLevel="0" collapsed="false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2"/>
      <c r="W534" s="22"/>
      <c r="X534" s="21"/>
    </row>
    <row r="535" customFormat="false" ht="15" hidden="false" customHeight="false" outlineLevel="0" collapsed="false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2"/>
      <c r="W535" s="22"/>
      <c r="X535" s="21"/>
    </row>
    <row r="536" customFormat="false" ht="15" hidden="false" customHeight="false" outlineLevel="0" collapsed="false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2"/>
      <c r="W536" s="22"/>
      <c r="X536" s="21"/>
    </row>
    <row r="537" customFormat="false" ht="15" hidden="false" customHeight="false" outlineLevel="0" collapsed="false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2"/>
      <c r="W537" s="22"/>
      <c r="X537" s="21"/>
    </row>
    <row r="538" customFormat="false" ht="15" hidden="false" customHeight="false" outlineLevel="0" collapsed="false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2"/>
      <c r="W538" s="22"/>
      <c r="X538" s="21"/>
    </row>
    <row r="539" customFormat="false" ht="15" hidden="false" customHeight="false" outlineLevel="0" collapsed="false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2"/>
      <c r="W539" s="22"/>
      <c r="X539" s="21"/>
    </row>
    <row r="540" customFormat="false" ht="15" hidden="false" customHeight="false" outlineLevel="0" collapsed="false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2"/>
      <c r="W540" s="22"/>
      <c r="X540" s="21"/>
    </row>
    <row r="541" customFormat="false" ht="15" hidden="false" customHeight="false" outlineLevel="0" collapsed="false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2"/>
      <c r="W541" s="22"/>
      <c r="X541" s="21"/>
    </row>
    <row r="542" customFormat="false" ht="15" hidden="false" customHeight="false" outlineLevel="0" collapsed="false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2"/>
      <c r="W542" s="22"/>
      <c r="X542" s="21"/>
    </row>
    <row r="543" customFormat="false" ht="15" hidden="false" customHeight="false" outlineLevel="0" collapsed="false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2"/>
      <c r="W543" s="22"/>
      <c r="X543" s="21"/>
    </row>
    <row r="544" customFormat="false" ht="15" hidden="false" customHeight="false" outlineLevel="0" collapsed="false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2"/>
      <c r="W544" s="22"/>
      <c r="X544" s="21"/>
    </row>
    <row r="545" customFormat="false" ht="15" hidden="false" customHeight="false" outlineLevel="0" collapsed="false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2"/>
      <c r="W545" s="22"/>
      <c r="X545" s="21"/>
    </row>
    <row r="546" customFormat="false" ht="15" hidden="false" customHeight="false" outlineLevel="0" collapsed="false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2"/>
      <c r="W546" s="22"/>
      <c r="X546" s="21"/>
    </row>
    <row r="547" customFormat="false" ht="15" hidden="false" customHeight="false" outlineLevel="0" collapsed="false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2"/>
      <c r="W547" s="22"/>
      <c r="X547" s="21"/>
    </row>
    <row r="548" customFormat="false" ht="15" hidden="false" customHeight="false" outlineLevel="0" collapsed="false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2"/>
      <c r="W548" s="22"/>
      <c r="X548" s="21"/>
    </row>
    <row r="549" customFormat="false" ht="15" hidden="false" customHeight="false" outlineLevel="0" collapsed="false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2"/>
      <c r="W549" s="22"/>
      <c r="X549" s="21"/>
    </row>
    <row r="550" customFormat="false" ht="15" hidden="false" customHeight="false" outlineLevel="0" collapsed="false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2"/>
      <c r="W550" s="22"/>
      <c r="X550" s="21"/>
    </row>
    <row r="551" customFormat="false" ht="15" hidden="false" customHeight="false" outlineLevel="0" collapsed="false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2"/>
      <c r="W551" s="22"/>
      <c r="X551" s="21"/>
    </row>
    <row r="552" customFormat="false" ht="15" hidden="false" customHeight="false" outlineLevel="0" collapsed="false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2"/>
      <c r="W552" s="22"/>
      <c r="X552" s="21"/>
    </row>
    <row r="553" customFormat="false" ht="15" hidden="false" customHeight="false" outlineLevel="0" collapsed="false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2"/>
      <c r="W553" s="22"/>
      <c r="X553" s="21"/>
    </row>
    <row r="554" customFormat="false" ht="15" hidden="false" customHeight="false" outlineLevel="0" collapsed="false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2"/>
      <c r="W554" s="22"/>
      <c r="X554" s="21"/>
    </row>
    <row r="555" customFormat="false" ht="15" hidden="false" customHeight="false" outlineLevel="0" collapsed="false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2"/>
      <c r="W555" s="22"/>
      <c r="X555" s="21"/>
    </row>
    <row r="556" customFormat="false" ht="15" hidden="false" customHeight="false" outlineLevel="0" collapsed="false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2"/>
      <c r="W556" s="22"/>
      <c r="X556" s="21"/>
    </row>
    <row r="557" customFormat="false" ht="15" hidden="false" customHeight="false" outlineLevel="0" collapsed="false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2"/>
      <c r="W557" s="22"/>
      <c r="X557" s="21"/>
    </row>
    <row r="558" customFormat="false" ht="15" hidden="false" customHeight="false" outlineLevel="0" collapsed="false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2"/>
      <c r="W558" s="22"/>
      <c r="X558" s="21"/>
    </row>
    <row r="559" customFormat="false" ht="15" hidden="false" customHeight="false" outlineLevel="0" collapsed="false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2"/>
      <c r="W559" s="22"/>
      <c r="X559" s="21"/>
    </row>
    <row r="560" customFormat="false" ht="15" hidden="false" customHeight="false" outlineLevel="0" collapsed="false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2"/>
      <c r="W560" s="22"/>
      <c r="X560" s="21"/>
    </row>
    <row r="561" customFormat="false" ht="15" hidden="false" customHeight="false" outlineLevel="0" collapsed="false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2"/>
      <c r="W561" s="22"/>
      <c r="X561" s="21"/>
    </row>
    <row r="562" customFormat="false" ht="15" hidden="false" customHeight="false" outlineLevel="0" collapsed="false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2"/>
      <c r="W562" s="22"/>
      <c r="X562" s="21"/>
    </row>
    <row r="563" customFormat="false" ht="15" hidden="false" customHeight="false" outlineLevel="0" collapsed="false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2"/>
      <c r="W563" s="22"/>
      <c r="X563" s="21"/>
    </row>
    <row r="564" customFormat="false" ht="15" hidden="false" customHeight="false" outlineLevel="0" collapsed="false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2"/>
      <c r="W564" s="22"/>
      <c r="X564" s="21"/>
    </row>
    <row r="565" customFormat="false" ht="15" hidden="false" customHeight="false" outlineLevel="0" collapsed="false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2"/>
      <c r="W565" s="22"/>
      <c r="X565" s="21"/>
    </row>
    <row r="566" customFormat="false" ht="15" hidden="false" customHeight="false" outlineLevel="0" collapsed="false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2"/>
      <c r="W566" s="22"/>
      <c r="X566" s="21"/>
    </row>
    <row r="567" customFormat="false" ht="15" hidden="false" customHeight="false" outlineLevel="0" collapsed="false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2"/>
      <c r="W567" s="22"/>
      <c r="X567" s="21"/>
    </row>
    <row r="568" customFormat="false" ht="15" hidden="false" customHeight="false" outlineLevel="0" collapsed="false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2"/>
      <c r="W568" s="22"/>
      <c r="X568" s="21"/>
    </row>
    <row r="569" customFormat="false" ht="15" hidden="false" customHeight="false" outlineLevel="0" collapsed="false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2"/>
      <c r="W569" s="22"/>
      <c r="X569" s="21"/>
    </row>
    <row r="570" customFormat="false" ht="15" hidden="false" customHeight="false" outlineLevel="0" collapsed="false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2"/>
      <c r="W570" s="22"/>
      <c r="X570" s="21"/>
    </row>
    <row r="571" customFormat="false" ht="15" hidden="false" customHeight="false" outlineLevel="0" collapsed="false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2"/>
      <c r="W571" s="22"/>
      <c r="X571" s="21"/>
    </row>
    <row r="572" customFormat="false" ht="15" hidden="false" customHeight="false" outlineLevel="0" collapsed="false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2"/>
      <c r="W572" s="22"/>
      <c r="X572" s="21"/>
    </row>
    <row r="573" customFormat="false" ht="15" hidden="false" customHeight="false" outlineLevel="0" collapsed="false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2"/>
      <c r="W573" s="22"/>
      <c r="X573" s="21"/>
    </row>
    <row r="574" customFormat="false" ht="15" hidden="false" customHeight="false" outlineLevel="0" collapsed="false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2"/>
      <c r="W574" s="22"/>
      <c r="X574" s="21"/>
    </row>
    <row r="575" customFormat="false" ht="15" hidden="false" customHeight="false" outlineLevel="0" collapsed="false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2"/>
      <c r="W575" s="22"/>
      <c r="X575" s="21"/>
    </row>
    <row r="576" customFormat="false" ht="15" hidden="false" customHeight="false" outlineLevel="0" collapsed="false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2"/>
      <c r="W576" s="22"/>
      <c r="X576" s="21"/>
    </row>
    <row r="577" customFormat="false" ht="15" hidden="false" customHeight="false" outlineLevel="0" collapsed="false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2"/>
      <c r="W577" s="22"/>
      <c r="X577" s="21"/>
    </row>
    <row r="578" customFormat="false" ht="15" hidden="false" customHeight="false" outlineLevel="0" collapsed="false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2"/>
      <c r="W578" s="22"/>
      <c r="X578" s="21"/>
    </row>
    <row r="579" customFormat="false" ht="15" hidden="false" customHeight="false" outlineLevel="0" collapsed="false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2"/>
      <c r="W579" s="22"/>
      <c r="X579" s="21"/>
    </row>
    <row r="580" customFormat="false" ht="15" hidden="false" customHeight="false" outlineLevel="0" collapsed="false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2"/>
      <c r="W580" s="22"/>
      <c r="X580" s="21"/>
    </row>
    <row r="581" customFormat="false" ht="15" hidden="false" customHeight="false" outlineLevel="0" collapsed="false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2"/>
      <c r="W581" s="22"/>
      <c r="X581" s="21"/>
    </row>
    <row r="582" customFormat="false" ht="15" hidden="false" customHeight="false" outlineLevel="0" collapsed="false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2"/>
      <c r="W582" s="22"/>
      <c r="X582" s="21"/>
    </row>
    <row r="583" customFormat="false" ht="15" hidden="false" customHeight="false" outlineLevel="0" collapsed="false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2"/>
      <c r="W583" s="22"/>
      <c r="X583" s="21"/>
    </row>
    <row r="584" customFormat="false" ht="15" hidden="false" customHeight="false" outlineLevel="0" collapsed="false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2"/>
      <c r="W584" s="22"/>
      <c r="X584" s="21"/>
    </row>
    <row r="585" customFormat="false" ht="15" hidden="false" customHeight="false" outlineLevel="0" collapsed="false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2"/>
      <c r="W585" s="22"/>
      <c r="X585" s="21"/>
    </row>
    <row r="586" customFormat="false" ht="15" hidden="false" customHeight="false" outlineLevel="0" collapsed="false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2"/>
      <c r="W586" s="22"/>
      <c r="X586" s="21"/>
    </row>
    <row r="587" customFormat="false" ht="15" hidden="false" customHeight="false" outlineLevel="0" collapsed="false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2"/>
      <c r="W587" s="22"/>
      <c r="X587" s="21"/>
    </row>
    <row r="588" customFormat="false" ht="15" hidden="false" customHeight="false" outlineLevel="0" collapsed="false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2"/>
      <c r="W588" s="22"/>
      <c r="X588" s="21"/>
    </row>
    <row r="589" customFormat="false" ht="15" hidden="false" customHeight="false" outlineLevel="0" collapsed="false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2"/>
      <c r="W589" s="22"/>
      <c r="X589" s="21"/>
    </row>
    <row r="590" customFormat="false" ht="15" hidden="false" customHeight="false" outlineLevel="0" collapsed="false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2"/>
      <c r="W590" s="22"/>
      <c r="X590" s="21"/>
    </row>
    <row r="591" customFormat="false" ht="15" hidden="false" customHeight="false" outlineLevel="0" collapsed="false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2"/>
      <c r="W591" s="22"/>
      <c r="X591" s="21"/>
    </row>
    <row r="592" customFormat="false" ht="15" hidden="false" customHeight="false" outlineLevel="0" collapsed="false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2"/>
      <c r="W592" s="22"/>
      <c r="X592" s="21"/>
    </row>
    <row r="593" customFormat="false" ht="15" hidden="false" customHeight="false" outlineLevel="0" collapsed="false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2"/>
      <c r="W593" s="22"/>
      <c r="X593" s="21"/>
    </row>
    <row r="594" customFormat="false" ht="15" hidden="false" customHeight="false" outlineLevel="0" collapsed="false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2"/>
      <c r="W594" s="22"/>
      <c r="X594" s="21"/>
    </row>
    <row r="595" customFormat="false" ht="15" hidden="false" customHeight="false" outlineLevel="0" collapsed="false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2"/>
      <c r="W595" s="22"/>
      <c r="X595" s="21"/>
    </row>
    <row r="596" customFormat="false" ht="15" hidden="false" customHeight="false" outlineLevel="0" collapsed="false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2"/>
      <c r="W596" s="22"/>
      <c r="X596" s="21"/>
    </row>
    <row r="597" customFormat="false" ht="15" hidden="false" customHeight="false" outlineLevel="0" collapsed="false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2"/>
      <c r="W597" s="22"/>
      <c r="X597" s="21"/>
    </row>
    <row r="598" customFormat="false" ht="15" hidden="false" customHeight="false" outlineLevel="0" collapsed="false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2"/>
      <c r="W598" s="22"/>
      <c r="X598" s="21"/>
    </row>
    <row r="599" customFormat="false" ht="15" hidden="false" customHeight="false" outlineLevel="0" collapsed="false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2"/>
      <c r="W599" s="22"/>
      <c r="X599" s="21"/>
    </row>
    <row r="600" customFormat="false" ht="15" hidden="false" customHeight="false" outlineLevel="0" collapsed="false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2"/>
      <c r="W600" s="22"/>
      <c r="X600" s="21"/>
    </row>
    <row r="601" customFormat="false" ht="15" hidden="false" customHeight="false" outlineLevel="0" collapsed="false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2"/>
      <c r="W601" s="22"/>
      <c r="X601" s="21"/>
    </row>
    <row r="602" customFormat="false" ht="15" hidden="false" customHeight="false" outlineLevel="0" collapsed="false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2"/>
      <c r="W602" s="22"/>
      <c r="X602" s="21"/>
    </row>
    <row r="603" customFormat="false" ht="15" hidden="false" customHeight="false" outlineLevel="0" collapsed="false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2"/>
      <c r="W603" s="22"/>
      <c r="X603" s="21"/>
    </row>
    <row r="604" customFormat="false" ht="15" hidden="false" customHeight="false" outlineLevel="0" collapsed="false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2"/>
      <c r="W604" s="22"/>
      <c r="X604" s="21"/>
    </row>
    <row r="605" customFormat="false" ht="15" hidden="false" customHeight="false" outlineLevel="0" collapsed="false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2"/>
      <c r="W605" s="22"/>
      <c r="X605" s="21"/>
    </row>
    <row r="606" customFormat="false" ht="15" hidden="false" customHeight="false" outlineLevel="0" collapsed="false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2"/>
      <c r="W606" s="22"/>
      <c r="X606" s="21"/>
    </row>
    <row r="607" customFormat="false" ht="15" hidden="false" customHeight="false" outlineLevel="0" collapsed="false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2"/>
      <c r="W607" s="22"/>
      <c r="X607" s="21"/>
    </row>
    <row r="608" customFormat="false" ht="15" hidden="false" customHeight="false" outlineLevel="0" collapsed="false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2"/>
      <c r="W608" s="22"/>
      <c r="X608" s="21"/>
    </row>
    <row r="609" customFormat="false" ht="15" hidden="false" customHeight="false" outlineLevel="0" collapsed="false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2"/>
      <c r="W609" s="22"/>
      <c r="X609" s="21"/>
    </row>
    <row r="610" customFormat="false" ht="15" hidden="false" customHeight="false" outlineLevel="0" collapsed="false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2"/>
      <c r="W610" s="22"/>
      <c r="X610" s="21"/>
    </row>
    <row r="611" customFormat="false" ht="15" hidden="false" customHeight="false" outlineLevel="0" collapsed="false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2"/>
      <c r="W611" s="22"/>
      <c r="X611" s="21"/>
    </row>
    <row r="612" customFormat="false" ht="15" hidden="false" customHeight="false" outlineLevel="0" collapsed="false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2"/>
      <c r="W612" s="22"/>
      <c r="X612" s="21"/>
    </row>
    <row r="613" customFormat="false" ht="15" hidden="false" customHeight="false" outlineLevel="0" collapsed="false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2"/>
      <c r="W613" s="22"/>
      <c r="X613" s="21"/>
    </row>
    <row r="614" customFormat="false" ht="15" hidden="false" customHeight="false" outlineLevel="0" collapsed="false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2"/>
      <c r="W614" s="22"/>
      <c r="X614" s="21"/>
    </row>
    <row r="615" customFormat="false" ht="15" hidden="false" customHeight="false" outlineLevel="0" collapsed="false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2"/>
      <c r="W615" s="22"/>
      <c r="X615" s="21"/>
    </row>
    <row r="616" customFormat="false" ht="15" hidden="false" customHeight="false" outlineLevel="0" collapsed="false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2"/>
      <c r="W616" s="22"/>
      <c r="X616" s="21"/>
    </row>
    <row r="617" customFormat="false" ht="15" hidden="false" customHeight="false" outlineLevel="0" collapsed="false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2"/>
      <c r="W617" s="22"/>
      <c r="X617" s="21"/>
    </row>
    <row r="618" customFormat="false" ht="15" hidden="false" customHeight="false" outlineLevel="0" collapsed="false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2"/>
      <c r="W618" s="22"/>
      <c r="X618" s="21"/>
    </row>
    <row r="619" customFormat="false" ht="15" hidden="false" customHeight="false" outlineLevel="0" collapsed="false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2"/>
      <c r="W619" s="22"/>
      <c r="X619" s="21"/>
    </row>
    <row r="620" customFormat="false" ht="15" hidden="false" customHeight="false" outlineLevel="0" collapsed="false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2"/>
      <c r="W620" s="22"/>
      <c r="X620" s="21"/>
    </row>
    <row r="621" customFormat="false" ht="15" hidden="false" customHeight="false" outlineLevel="0" collapsed="false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2"/>
      <c r="W621" s="22"/>
      <c r="X621" s="21"/>
    </row>
    <row r="622" customFormat="false" ht="15" hidden="false" customHeight="false" outlineLevel="0" collapsed="false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2"/>
      <c r="W622" s="22"/>
      <c r="X622" s="21"/>
    </row>
    <row r="623" customFormat="false" ht="15" hidden="false" customHeight="false" outlineLevel="0" collapsed="false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2"/>
      <c r="W623" s="22"/>
      <c r="X623" s="21"/>
    </row>
    <row r="624" customFormat="false" ht="15" hidden="false" customHeight="false" outlineLevel="0" collapsed="false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2"/>
      <c r="W624" s="22"/>
      <c r="X624" s="21"/>
    </row>
    <row r="625" customFormat="false" ht="15" hidden="false" customHeight="false" outlineLevel="0" collapsed="false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2"/>
      <c r="W625" s="22"/>
      <c r="X625" s="21"/>
    </row>
    <row r="626" customFormat="false" ht="15" hidden="false" customHeight="false" outlineLevel="0" collapsed="false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2"/>
      <c r="W626" s="22"/>
      <c r="X626" s="21"/>
    </row>
    <row r="627" customFormat="false" ht="15" hidden="false" customHeight="false" outlineLevel="0" collapsed="false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2"/>
      <c r="W627" s="22"/>
      <c r="X627" s="21"/>
    </row>
    <row r="628" customFormat="false" ht="15" hidden="false" customHeight="false" outlineLevel="0" collapsed="false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2"/>
      <c r="W628" s="22"/>
      <c r="X628" s="21"/>
    </row>
    <row r="629" customFormat="false" ht="15" hidden="false" customHeight="false" outlineLevel="0" collapsed="false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2"/>
      <c r="W629" s="22"/>
      <c r="X629" s="21"/>
    </row>
    <row r="630" customFormat="false" ht="15" hidden="false" customHeight="false" outlineLevel="0" collapsed="false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2"/>
      <c r="W630" s="22"/>
      <c r="X630" s="21"/>
    </row>
    <row r="631" customFormat="false" ht="15" hidden="false" customHeight="false" outlineLevel="0" collapsed="false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2"/>
      <c r="W631" s="22"/>
      <c r="X631" s="21"/>
    </row>
    <row r="632" customFormat="false" ht="15" hidden="false" customHeight="false" outlineLevel="0" collapsed="false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2"/>
      <c r="W632" s="22"/>
      <c r="X632" s="21"/>
    </row>
    <row r="633" customFormat="false" ht="15" hidden="false" customHeight="false" outlineLevel="0" collapsed="false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2"/>
      <c r="W633" s="22"/>
      <c r="X633" s="21"/>
    </row>
    <row r="634" customFormat="false" ht="15" hidden="false" customHeight="false" outlineLevel="0" collapsed="false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2"/>
      <c r="W634" s="22"/>
      <c r="X634" s="21"/>
    </row>
    <row r="635" customFormat="false" ht="15" hidden="false" customHeight="false" outlineLevel="0" collapsed="false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2"/>
      <c r="W635" s="22"/>
      <c r="X635" s="21"/>
    </row>
    <row r="636" customFormat="false" ht="15" hidden="false" customHeight="false" outlineLevel="0" collapsed="false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2"/>
      <c r="W636" s="22"/>
      <c r="X636" s="21"/>
    </row>
    <row r="637" customFormat="false" ht="15" hidden="false" customHeight="false" outlineLevel="0" collapsed="false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2"/>
      <c r="W637" s="22"/>
      <c r="X637" s="21"/>
    </row>
    <row r="638" customFormat="false" ht="15" hidden="false" customHeight="false" outlineLevel="0" collapsed="false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2"/>
      <c r="W638" s="22"/>
      <c r="X638" s="21"/>
    </row>
    <row r="639" customFormat="false" ht="15" hidden="false" customHeight="false" outlineLevel="0" collapsed="false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2"/>
      <c r="W639" s="22"/>
      <c r="X639" s="21"/>
    </row>
    <row r="640" customFormat="false" ht="15" hidden="false" customHeight="false" outlineLevel="0" collapsed="false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2"/>
      <c r="W640" s="22"/>
      <c r="X640" s="21"/>
    </row>
    <row r="641" customFormat="false" ht="15" hidden="false" customHeight="false" outlineLevel="0" collapsed="false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2"/>
      <c r="W641" s="22"/>
      <c r="X641" s="21"/>
    </row>
    <row r="642" customFormat="false" ht="15" hidden="false" customHeight="false" outlineLevel="0" collapsed="false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2"/>
      <c r="W642" s="22"/>
      <c r="X642" s="21"/>
    </row>
    <row r="643" customFormat="false" ht="15" hidden="false" customHeight="false" outlineLevel="0" collapsed="false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2"/>
      <c r="W643" s="22"/>
      <c r="X643" s="21"/>
    </row>
    <row r="644" customFormat="false" ht="15" hidden="false" customHeight="false" outlineLevel="0" collapsed="false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2"/>
      <c r="W644" s="22"/>
      <c r="X644" s="21"/>
    </row>
    <row r="645" customFormat="false" ht="15" hidden="false" customHeight="false" outlineLevel="0" collapsed="false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2"/>
      <c r="W645" s="22"/>
      <c r="X645" s="21"/>
    </row>
    <row r="646" customFormat="false" ht="15" hidden="false" customHeight="false" outlineLevel="0" collapsed="false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2"/>
      <c r="W646" s="22"/>
      <c r="X646" s="21"/>
    </row>
    <row r="647" customFormat="false" ht="15" hidden="false" customHeight="false" outlineLevel="0" collapsed="false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2"/>
      <c r="W647" s="22"/>
      <c r="X647" s="21"/>
    </row>
    <row r="648" customFormat="false" ht="15" hidden="false" customHeight="false" outlineLevel="0" collapsed="false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2"/>
      <c r="W648" s="22"/>
      <c r="X648" s="21"/>
    </row>
    <row r="649" customFormat="false" ht="15" hidden="false" customHeight="false" outlineLevel="0" collapsed="false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2"/>
      <c r="W649" s="22"/>
      <c r="X649" s="21"/>
    </row>
    <row r="650" customFormat="false" ht="15" hidden="false" customHeight="false" outlineLevel="0" collapsed="false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2"/>
      <c r="W650" s="22"/>
      <c r="X650" s="21"/>
    </row>
    <row r="651" customFormat="false" ht="15" hidden="false" customHeight="false" outlineLevel="0" collapsed="false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2"/>
      <c r="W651" s="22"/>
      <c r="X651" s="21"/>
    </row>
    <row r="652" customFormat="false" ht="15" hidden="false" customHeight="false" outlineLevel="0" collapsed="false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2"/>
      <c r="W652" s="22"/>
      <c r="X652" s="21"/>
    </row>
    <row r="653" customFormat="false" ht="15" hidden="false" customHeight="false" outlineLevel="0" collapsed="false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2"/>
      <c r="W653" s="22"/>
      <c r="X653" s="21"/>
    </row>
    <row r="654" customFormat="false" ht="15" hidden="false" customHeight="false" outlineLevel="0" collapsed="false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2"/>
      <c r="W654" s="22"/>
      <c r="X654" s="21"/>
    </row>
    <row r="655" customFormat="false" ht="15" hidden="false" customHeight="false" outlineLevel="0" collapsed="false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2"/>
      <c r="W655" s="22"/>
      <c r="X655" s="21"/>
    </row>
    <row r="656" customFormat="false" ht="15" hidden="false" customHeight="false" outlineLevel="0" collapsed="false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2"/>
      <c r="W656" s="22"/>
      <c r="X656" s="21"/>
    </row>
    <row r="657" customFormat="false" ht="15" hidden="false" customHeight="false" outlineLevel="0" collapsed="false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2"/>
      <c r="W657" s="22"/>
      <c r="X657" s="21"/>
    </row>
    <row r="658" customFormat="false" ht="15" hidden="false" customHeight="false" outlineLevel="0" collapsed="false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2"/>
      <c r="W658" s="22"/>
      <c r="X658" s="21"/>
    </row>
    <row r="659" customFormat="false" ht="15" hidden="false" customHeight="false" outlineLevel="0" collapsed="false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2"/>
      <c r="W659" s="22"/>
      <c r="X659" s="21"/>
    </row>
    <row r="660" customFormat="false" ht="15" hidden="false" customHeight="false" outlineLevel="0" collapsed="false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2"/>
      <c r="W660" s="22"/>
      <c r="X660" s="21"/>
    </row>
    <row r="661" customFormat="false" ht="15" hidden="false" customHeight="false" outlineLevel="0" collapsed="false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2"/>
      <c r="W661" s="22"/>
      <c r="X661" s="21"/>
    </row>
    <row r="662" customFormat="false" ht="15" hidden="false" customHeight="false" outlineLevel="0" collapsed="false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2"/>
      <c r="W662" s="22"/>
      <c r="X662" s="21"/>
    </row>
    <row r="663" customFormat="false" ht="15" hidden="false" customHeight="false" outlineLevel="0" collapsed="false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2"/>
      <c r="W663" s="22"/>
      <c r="X663" s="21"/>
    </row>
    <row r="664" customFormat="false" ht="15" hidden="false" customHeight="false" outlineLevel="0" collapsed="false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2"/>
      <c r="W664" s="22"/>
      <c r="X664" s="21"/>
    </row>
    <row r="665" customFormat="false" ht="15" hidden="false" customHeight="false" outlineLevel="0" collapsed="false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2"/>
      <c r="W665" s="22"/>
      <c r="X665" s="21"/>
    </row>
    <row r="666" customFormat="false" ht="15" hidden="false" customHeight="false" outlineLevel="0" collapsed="false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2"/>
      <c r="W666" s="22"/>
      <c r="X666" s="21"/>
    </row>
    <row r="667" customFormat="false" ht="15" hidden="false" customHeight="false" outlineLevel="0" collapsed="false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2"/>
      <c r="W667" s="22"/>
      <c r="X667" s="21"/>
    </row>
    <row r="668" customFormat="false" ht="15" hidden="false" customHeight="false" outlineLevel="0" collapsed="false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2"/>
      <c r="W668" s="22"/>
      <c r="X668" s="21"/>
    </row>
    <row r="669" customFormat="false" ht="15" hidden="false" customHeight="false" outlineLevel="0" collapsed="false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2"/>
      <c r="W669" s="22"/>
      <c r="X669" s="21"/>
    </row>
    <row r="670" customFormat="false" ht="15" hidden="false" customHeight="false" outlineLevel="0" collapsed="false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2"/>
      <c r="W670" s="22"/>
      <c r="X670" s="21"/>
    </row>
    <row r="671" customFormat="false" ht="15" hidden="false" customHeight="false" outlineLevel="0" collapsed="false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2"/>
      <c r="W671" s="22"/>
      <c r="X671" s="21"/>
    </row>
    <row r="672" customFormat="false" ht="15" hidden="false" customHeight="false" outlineLevel="0" collapsed="false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2"/>
      <c r="W672" s="22"/>
      <c r="X672" s="21"/>
    </row>
    <row r="673" customFormat="false" ht="15" hidden="false" customHeight="false" outlineLevel="0" collapsed="false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2"/>
      <c r="W673" s="22"/>
      <c r="X673" s="21"/>
    </row>
    <row r="674" customFormat="false" ht="15" hidden="false" customHeight="false" outlineLevel="0" collapsed="false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2"/>
      <c r="W674" s="22"/>
      <c r="X674" s="21"/>
    </row>
    <row r="675" customFormat="false" ht="15" hidden="false" customHeight="false" outlineLevel="0" collapsed="false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2"/>
      <c r="W675" s="22"/>
      <c r="X675" s="21"/>
    </row>
    <row r="676" customFormat="false" ht="15" hidden="false" customHeight="false" outlineLevel="0" collapsed="false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2"/>
      <c r="W676" s="22"/>
      <c r="X676" s="21"/>
    </row>
    <row r="677" customFormat="false" ht="15" hidden="false" customHeight="false" outlineLevel="0" collapsed="false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2"/>
      <c r="W677" s="22"/>
      <c r="X677" s="21"/>
    </row>
    <row r="678" customFormat="false" ht="15" hidden="false" customHeight="false" outlineLevel="0" collapsed="false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2"/>
      <c r="W678" s="22"/>
      <c r="X678" s="21"/>
    </row>
    <row r="679" customFormat="false" ht="15" hidden="false" customHeight="false" outlineLevel="0" collapsed="false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2"/>
      <c r="W679" s="22"/>
      <c r="X679" s="21"/>
    </row>
    <row r="680" customFormat="false" ht="15" hidden="false" customHeight="false" outlineLevel="0" collapsed="false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2"/>
      <c r="W680" s="22"/>
      <c r="X680" s="21"/>
    </row>
    <row r="681" customFormat="false" ht="15" hidden="false" customHeight="false" outlineLevel="0" collapsed="false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2"/>
      <c r="W681" s="22"/>
      <c r="X681" s="21"/>
    </row>
    <row r="682" customFormat="false" ht="15" hidden="false" customHeight="false" outlineLevel="0" collapsed="false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2"/>
      <c r="W682" s="22"/>
      <c r="X682" s="21"/>
    </row>
    <row r="683" customFormat="false" ht="15" hidden="false" customHeight="false" outlineLevel="0" collapsed="false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2"/>
      <c r="W683" s="22"/>
      <c r="X683" s="21"/>
    </row>
    <row r="684" customFormat="false" ht="15" hidden="false" customHeight="false" outlineLevel="0" collapsed="false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2"/>
      <c r="W684" s="22"/>
      <c r="X684" s="21"/>
    </row>
    <row r="685" customFormat="false" ht="15" hidden="false" customHeight="false" outlineLevel="0" collapsed="false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2"/>
      <c r="W685" s="22"/>
      <c r="X685" s="21"/>
    </row>
    <row r="686" customFormat="false" ht="15" hidden="false" customHeight="false" outlineLevel="0" collapsed="false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2"/>
      <c r="W686" s="22"/>
      <c r="X686" s="21"/>
    </row>
    <row r="687" customFormat="false" ht="15" hidden="false" customHeight="false" outlineLevel="0" collapsed="false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2"/>
      <c r="W687" s="22"/>
      <c r="X687" s="21"/>
    </row>
    <row r="688" customFormat="false" ht="15" hidden="false" customHeight="false" outlineLevel="0" collapsed="false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2"/>
      <c r="W688" s="22"/>
      <c r="X688" s="21"/>
    </row>
    <row r="689" customFormat="false" ht="15" hidden="false" customHeight="false" outlineLevel="0" collapsed="false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2"/>
      <c r="W689" s="22"/>
      <c r="X689" s="21"/>
    </row>
    <row r="690" customFormat="false" ht="15" hidden="false" customHeight="false" outlineLevel="0" collapsed="false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2"/>
      <c r="W690" s="22"/>
      <c r="X690" s="21"/>
    </row>
    <row r="691" customFormat="false" ht="15" hidden="false" customHeight="false" outlineLevel="0" collapsed="false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2"/>
      <c r="W691" s="22"/>
      <c r="X691" s="21"/>
    </row>
    <row r="692" customFormat="false" ht="15" hidden="false" customHeight="false" outlineLevel="0" collapsed="false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2"/>
      <c r="W692" s="22"/>
      <c r="X692" s="21"/>
    </row>
    <row r="693" customFormat="false" ht="15" hidden="false" customHeight="false" outlineLevel="0" collapsed="false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2"/>
      <c r="W693" s="22"/>
      <c r="X693" s="21"/>
    </row>
    <row r="694" customFormat="false" ht="15" hidden="false" customHeight="false" outlineLevel="0" collapsed="false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2"/>
      <c r="W694" s="22"/>
      <c r="X694" s="21"/>
    </row>
    <row r="695" customFormat="false" ht="15" hidden="false" customHeight="false" outlineLevel="0" collapsed="false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2"/>
      <c r="W695" s="22"/>
      <c r="X695" s="21"/>
    </row>
    <row r="696" customFormat="false" ht="15" hidden="false" customHeight="false" outlineLevel="0" collapsed="false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2"/>
      <c r="W696" s="22"/>
      <c r="X696" s="21"/>
    </row>
    <row r="697" customFormat="false" ht="15" hidden="false" customHeight="false" outlineLevel="0" collapsed="false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2"/>
      <c r="W697" s="22"/>
      <c r="X697" s="21"/>
    </row>
    <row r="698" customFormat="false" ht="15" hidden="false" customHeight="false" outlineLevel="0" collapsed="false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2"/>
      <c r="W698" s="22"/>
      <c r="X698" s="21"/>
    </row>
    <row r="699" customFormat="false" ht="15" hidden="false" customHeight="false" outlineLevel="0" collapsed="false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2"/>
      <c r="W699" s="22"/>
      <c r="X699" s="21"/>
    </row>
    <row r="700" customFormat="false" ht="15" hidden="false" customHeight="false" outlineLevel="0" collapsed="false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2"/>
      <c r="W700" s="22"/>
      <c r="X700" s="21"/>
    </row>
    <row r="701" customFormat="false" ht="15" hidden="false" customHeight="false" outlineLevel="0" collapsed="false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2"/>
      <c r="W701" s="22"/>
      <c r="X701" s="21"/>
    </row>
    <row r="702" customFormat="false" ht="15" hidden="false" customHeight="false" outlineLevel="0" collapsed="false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2"/>
      <c r="W702" s="22"/>
      <c r="X702" s="21"/>
    </row>
    <row r="703" customFormat="false" ht="15" hidden="false" customHeight="false" outlineLevel="0" collapsed="false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2"/>
      <c r="W703" s="22"/>
      <c r="X703" s="21"/>
    </row>
    <row r="704" customFormat="false" ht="15" hidden="false" customHeight="false" outlineLevel="0" collapsed="false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2"/>
      <c r="W704" s="22"/>
      <c r="X704" s="21"/>
    </row>
    <row r="705" customFormat="false" ht="15" hidden="false" customHeight="false" outlineLevel="0" collapsed="false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2"/>
      <c r="W705" s="22"/>
      <c r="X705" s="21"/>
    </row>
    <row r="706" customFormat="false" ht="15" hidden="false" customHeight="false" outlineLevel="0" collapsed="false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2"/>
      <c r="W706" s="22"/>
      <c r="X706" s="21"/>
    </row>
    <row r="707" customFormat="false" ht="15" hidden="false" customHeight="false" outlineLevel="0" collapsed="false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2"/>
      <c r="W707" s="22"/>
      <c r="X707" s="21"/>
    </row>
    <row r="708" customFormat="false" ht="15" hidden="false" customHeight="false" outlineLevel="0" collapsed="false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2"/>
      <c r="W708" s="22"/>
      <c r="X708" s="21"/>
    </row>
    <row r="709" customFormat="false" ht="15" hidden="false" customHeight="false" outlineLevel="0" collapsed="false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2"/>
      <c r="W709" s="22"/>
      <c r="X709" s="21"/>
    </row>
    <row r="710" customFormat="false" ht="15" hidden="false" customHeight="false" outlineLevel="0" collapsed="false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2"/>
      <c r="W710" s="22"/>
      <c r="X710" s="21"/>
    </row>
    <row r="711" customFormat="false" ht="15" hidden="false" customHeight="false" outlineLevel="0" collapsed="false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2"/>
      <c r="W711" s="22"/>
      <c r="X711" s="21"/>
    </row>
    <row r="712" customFormat="false" ht="15" hidden="false" customHeight="false" outlineLevel="0" collapsed="false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2"/>
      <c r="W712" s="22"/>
      <c r="X712" s="21"/>
    </row>
    <row r="713" customFormat="false" ht="15" hidden="false" customHeight="false" outlineLevel="0" collapsed="false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2"/>
      <c r="W713" s="22"/>
      <c r="X713" s="21"/>
    </row>
    <row r="714" customFormat="false" ht="15" hidden="false" customHeight="false" outlineLevel="0" collapsed="false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2"/>
      <c r="W714" s="22"/>
      <c r="X714" s="21"/>
    </row>
    <row r="715" customFormat="false" ht="15" hidden="false" customHeight="false" outlineLevel="0" collapsed="false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2"/>
      <c r="W715" s="22"/>
      <c r="X715" s="21"/>
    </row>
    <row r="716" customFormat="false" ht="15" hidden="false" customHeight="false" outlineLevel="0" collapsed="false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2"/>
      <c r="W716" s="22"/>
      <c r="X716" s="21"/>
    </row>
    <row r="717" customFormat="false" ht="15" hidden="false" customHeight="false" outlineLevel="0" collapsed="false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2"/>
      <c r="W717" s="22"/>
      <c r="X717" s="21"/>
    </row>
    <row r="718" customFormat="false" ht="15" hidden="false" customHeight="false" outlineLevel="0" collapsed="false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2"/>
      <c r="W718" s="22"/>
      <c r="X718" s="21"/>
    </row>
    <row r="719" customFormat="false" ht="15" hidden="false" customHeight="false" outlineLevel="0" collapsed="false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2"/>
      <c r="W719" s="22"/>
      <c r="X719" s="21"/>
    </row>
    <row r="720" customFormat="false" ht="15" hidden="false" customHeight="false" outlineLevel="0" collapsed="false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2"/>
      <c r="W720" s="22"/>
      <c r="X720" s="21"/>
    </row>
    <row r="721" customFormat="false" ht="15" hidden="false" customHeight="false" outlineLevel="0" collapsed="false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2"/>
      <c r="W721" s="22"/>
      <c r="X721" s="21"/>
    </row>
    <row r="722" customFormat="false" ht="15" hidden="false" customHeight="false" outlineLevel="0" collapsed="false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2"/>
      <c r="W722" s="22"/>
      <c r="X722" s="21"/>
    </row>
    <row r="723" customFormat="false" ht="15" hidden="false" customHeight="false" outlineLevel="0" collapsed="false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2"/>
      <c r="W723" s="22"/>
      <c r="X723" s="21"/>
    </row>
    <row r="724" customFormat="false" ht="15" hidden="false" customHeight="false" outlineLevel="0" collapsed="false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2"/>
      <c r="W724" s="22"/>
      <c r="X724" s="21"/>
    </row>
    <row r="725" customFormat="false" ht="15" hidden="false" customHeight="false" outlineLevel="0" collapsed="false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2"/>
      <c r="W725" s="22"/>
      <c r="X725" s="21"/>
    </row>
    <row r="726" customFormat="false" ht="15" hidden="false" customHeight="false" outlineLevel="0" collapsed="false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2"/>
      <c r="W726" s="22"/>
      <c r="X726" s="21"/>
    </row>
    <row r="727" customFormat="false" ht="15" hidden="false" customHeight="false" outlineLevel="0" collapsed="false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2"/>
      <c r="W727" s="22"/>
      <c r="X727" s="21"/>
    </row>
    <row r="728" customFormat="false" ht="15" hidden="false" customHeight="false" outlineLevel="0" collapsed="false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2"/>
      <c r="W728" s="22"/>
      <c r="X728" s="21"/>
    </row>
    <row r="729" customFormat="false" ht="15" hidden="false" customHeight="false" outlineLevel="0" collapsed="false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2"/>
      <c r="W729" s="22"/>
      <c r="X729" s="21"/>
    </row>
    <row r="730" customFormat="false" ht="15" hidden="false" customHeight="false" outlineLevel="0" collapsed="false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2"/>
      <c r="W730" s="22"/>
      <c r="X730" s="21"/>
    </row>
    <row r="731" customFormat="false" ht="15" hidden="false" customHeight="false" outlineLevel="0" collapsed="false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2"/>
      <c r="W731" s="22"/>
      <c r="X731" s="21"/>
    </row>
    <row r="732" customFormat="false" ht="15" hidden="false" customHeight="false" outlineLevel="0" collapsed="false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2"/>
      <c r="W732" s="22"/>
      <c r="X732" s="21"/>
    </row>
    <row r="733" customFormat="false" ht="15" hidden="false" customHeight="false" outlineLevel="0" collapsed="false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2"/>
      <c r="W733" s="22"/>
      <c r="X733" s="21"/>
    </row>
    <row r="734" customFormat="false" ht="15" hidden="false" customHeight="false" outlineLevel="0" collapsed="false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2"/>
      <c r="W734" s="22"/>
      <c r="X734" s="21"/>
    </row>
    <row r="735" customFormat="false" ht="15" hidden="false" customHeight="false" outlineLevel="0" collapsed="false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2"/>
      <c r="W735" s="22"/>
      <c r="X735" s="21"/>
    </row>
    <row r="736" customFormat="false" ht="15" hidden="false" customHeight="false" outlineLevel="0" collapsed="false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2"/>
      <c r="W736" s="22"/>
      <c r="X736" s="21"/>
    </row>
    <row r="737" customFormat="false" ht="15" hidden="false" customHeight="false" outlineLevel="0" collapsed="false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2"/>
      <c r="W737" s="22"/>
      <c r="X737" s="21"/>
    </row>
    <row r="738" customFormat="false" ht="15" hidden="false" customHeight="false" outlineLevel="0" collapsed="false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2"/>
      <c r="W738" s="22"/>
      <c r="X738" s="21"/>
    </row>
    <row r="739" customFormat="false" ht="15" hidden="false" customHeight="false" outlineLevel="0" collapsed="false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2"/>
      <c r="W739" s="22"/>
      <c r="X739" s="21"/>
    </row>
    <row r="740" customFormat="false" ht="15" hidden="false" customHeight="false" outlineLevel="0" collapsed="false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2"/>
      <c r="W740" s="22"/>
      <c r="X740" s="21"/>
    </row>
    <row r="741" customFormat="false" ht="15" hidden="false" customHeight="false" outlineLevel="0" collapsed="false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2"/>
      <c r="W741" s="22"/>
      <c r="X741" s="21"/>
    </row>
    <row r="742" customFormat="false" ht="15" hidden="false" customHeight="false" outlineLevel="0" collapsed="false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2"/>
      <c r="W742" s="22"/>
      <c r="X742" s="21"/>
    </row>
    <row r="743" customFormat="false" ht="15" hidden="false" customHeight="false" outlineLevel="0" collapsed="false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2"/>
      <c r="W743" s="22"/>
      <c r="X743" s="21"/>
    </row>
    <row r="744" customFormat="false" ht="15" hidden="false" customHeight="false" outlineLevel="0" collapsed="false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2"/>
      <c r="W744" s="22"/>
      <c r="X744" s="21"/>
    </row>
    <row r="745" customFormat="false" ht="15" hidden="false" customHeight="false" outlineLevel="0" collapsed="false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2"/>
      <c r="W745" s="22"/>
      <c r="X745" s="21"/>
    </row>
    <row r="746" customFormat="false" ht="15" hidden="false" customHeight="false" outlineLevel="0" collapsed="false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2"/>
      <c r="W746" s="22"/>
      <c r="X746" s="21"/>
    </row>
    <row r="747" customFormat="false" ht="15" hidden="false" customHeight="false" outlineLevel="0" collapsed="false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2"/>
      <c r="W747" s="22"/>
      <c r="X747" s="21"/>
    </row>
    <row r="748" customFormat="false" ht="15" hidden="false" customHeight="false" outlineLevel="0" collapsed="false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2"/>
      <c r="W748" s="22"/>
      <c r="X748" s="21"/>
    </row>
    <row r="749" customFormat="false" ht="15" hidden="false" customHeight="false" outlineLevel="0" collapsed="false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2"/>
      <c r="W749" s="22"/>
      <c r="X749" s="21"/>
    </row>
    <row r="750" customFormat="false" ht="15" hidden="false" customHeight="false" outlineLevel="0" collapsed="false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2"/>
      <c r="W750" s="22"/>
      <c r="X750" s="21"/>
    </row>
    <row r="751" customFormat="false" ht="15" hidden="false" customHeight="false" outlineLevel="0" collapsed="false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2"/>
      <c r="W751" s="22"/>
      <c r="X751" s="21"/>
    </row>
    <row r="752" customFormat="false" ht="15" hidden="false" customHeight="false" outlineLevel="0" collapsed="false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2"/>
      <c r="W752" s="22"/>
      <c r="X752" s="21"/>
    </row>
    <row r="753" customFormat="false" ht="15" hidden="false" customHeight="false" outlineLevel="0" collapsed="false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2"/>
      <c r="W753" s="22"/>
      <c r="X753" s="21"/>
    </row>
    <row r="754" customFormat="false" ht="15" hidden="false" customHeight="false" outlineLevel="0" collapsed="false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2"/>
      <c r="W754" s="22"/>
      <c r="X754" s="21"/>
    </row>
    <row r="755" customFormat="false" ht="15" hidden="false" customHeight="false" outlineLevel="0" collapsed="false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2"/>
      <c r="W755" s="22"/>
      <c r="X755" s="21"/>
    </row>
    <row r="756" customFormat="false" ht="15" hidden="false" customHeight="false" outlineLevel="0" collapsed="false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2"/>
      <c r="W756" s="22"/>
      <c r="X756" s="21"/>
    </row>
    <row r="757" customFormat="false" ht="15" hidden="false" customHeight="false" outlineLevel="0" collapsed="false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2"/>
      <c r="W757" s="22"/>
      <c r="X757" s="21"/>
    </row>
    <row r="758" customFormat="false" ht="15" hidden="false" customHeight="false" outlineLevel="0" collapsed="false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2"/>
      <c r="W758" s="22"/>
      <c r="X758" s="21"/>
    </row>
    <row r="759" customFormat="false" ht="15" hidden="false" customHeight="false" outlineLevel="0" collapsed="false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2"/>
      <c r="W759" s="22"/>
      <c r="X759" s="21"/>
    </row>
    <row r="760" customFormat="false" ht="15" hidden="false" customHeight="false" outlineLevel="0" collapsed="false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2"/>
      <c r="W760" s="22"/>
      <c r="X760" s="21"/>
    </row>
    <row r="761" customFormat="false" ht="15" hidden="false" customHeight="false" outlineLevel="0" collapsed="false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2"/>
      <c r="W761" s="22"/>
      <c r="X761" s="21"/>
    </row>
    <row r="762" customFormat="false" ht="15" hidden="false" customHeight="false" outlineLevel="0" collapsed="false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2"/>
      <c r="W762" s="22"/>
      <c r="X762" s="21"/>
    </row>
    <row r="763" customFormat="false" ht="15" hidden="false" customHeight="false" outlineLevel="0" collapsed="false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2"/>
      <c r="W763" s="22"/>
      <c r="X763" s="21"/>
    </row>
    <row r="764" customFormat="false" ht="15" hidden="false" customHeight="false" outlineLevel="0" collapsed="false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2"/>
      <c r="W764" s="22"/>
      <c r="X764" s="21"/>
    </row>
    <row r="765" customFormat="false" ht="15" hidden="false" customHeight="false" outlineLevel="0" collapsed="false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2"/>
      <c r="W765" s="22"/>
      <c r="X765" s="21"/>
    </row>
    <row r="766" customFormat="false" ht="15" hidden="false" customHeight="false" outlineLevel="0" collapsed="false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2"/>
      <c r="W766" s="22"/>
      <c r="X766" s="21"/>
    </row>
    <row r="767" customFormat="false" ht="15" hidden="false" customHeight="false" outlineLevel="0" collapsed="false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2"/>
      <c r="W767" s="22"/>
      <c r="X767" s="21"/>
    </row>
    <row r="768" customFormat="false" ht="15" hidden="false" customHeight="false" outlineLevel="0" collapsed="false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2"/>
      <c r="W768" s="22"/>
      <c r="X768" s="21"/>
    </row>
    <row r="769" customFormat="false" ht="15" hidden="false" customHeight="false" outlineLevel="0" collapsed="false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2"/>
      <c r="W769" s="22"/>
      <c r="X769" s="21"/>
    </row>
    <row r="770" customFormat="false" ht="15" hidden="false" customHeight="false" outlineLevel="0" collapsed="false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2"/>
      <c r="W770" s="22"/>
      <c r="X770" s="21"/>
    </row>
    <row r="771" customFormat="false" ht="15" hidden="false" customHeight="false" outlineLevel="0" collapsed="false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2"/>
      <c r="W771" s="22"/>
      <c r="X771" s="21"/>
    </row>
    <row r="772" customFormat="false" ht="15" hidden="false" customHeight="false" outlineLevel="0" collapsed="false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2"/>
      <c r="W772" s="22"/>
      <c r="X772" s="21"/>
    </row>
    <row r="773" customFormat="false" ht="15" hidden="false" customHeight="false" outlineLevel="0" collapsed="false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2"/>
      <c r="W773" s="22"/>
      <c r="X773" s="21"/>
    </row>
    <row r="774" customFormat="false" ht="15" hidden="false" customHeight="false" outlineLevel="0" collapsed="false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2"/>
      <c r="W774" s="22"/>
      <c r="X774" s="21"/>
    </row>
    <row r="775" customFormat="false" ht="15" hidden="false" customHeight="false" outlineLevel="0" collapsed="false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2"/>
      <c r="W775" s="22"/>
      <c r="X775" s="21"/>
    </row>
    <row r="776" customFormat="false" ht="15" hidden="false" customHeight="false" outlineLevel="0" collapsed="false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2"/>
      <c r="W776" s="22"/>
      <c r="X776" s="21"/>
    </row>
    <row r="777" customFormat="false" ht="15" hidden="false" customHeight="false" outlineLevel="0" collapsed="false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2"/>
      <c r="W777" s="22"/>
      <c r="X777" s="21"/>
    </row>
    <row r="778" customFormat="false" ht="15" hidden="false" customHeight="false" outlineLevel="0" collapsed="false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2"/>
      <c r="W778" s="22"/>
      <c r="X778" s="21"/>
    </row>
    <row r="779" customFormat="false" ht="15" hidden="false" customHeight="false" outlineLevel="0" collapsed="false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2"/>
      <c r="W779" s="22"/>
      <c r="X779" s="21"/>
    </row>
    <row r="780" customFormat="false" ht="15" hidden="false" customHeight="false" outlineLevel="0" collapsed="false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2"/>
      <c r="W780" s="22"/>
      <c r="X780" s="21"/>
    </row>
    <row r="781" customFormat="false" ht="15" hidden="false" customHeight="false" outlineLevel="0" collapsed="false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2"/>
      <c r="W781" s="22"/>
      <c r="X781" s="21"/>
    </row>
    <row r="782" customFormat="false" ht="15" hidden="false" customHeight="false" outlineLevel="0" collapsed="false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2"/>
      <c r="W782" s="22"/>
      <c r="X782" s="21"/>
    </row>
    <row r="783" customFormat="false" ht="15" hidden="false" customHeight="false" outlineLevel="0" collapsed="false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2"/>
      <c r="W783" s="22"/>
      <c r="X783" s="21"/>
    </row>
    <row r="784" customFormat="false" ht="15" hidden="false" customHeight="false" outlineLevel="0" collapsed="false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2"/>
      <c r="W784" s="22"/>
      <c r="X784" s="21"/>
    </row>
    <row r="785" customFormat="false" ht="15" hidden="false" customHeight="false" outlineLevel="0" collapsed="false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2"/>
      <c r="W785" s="22"/>
      <c r="X785" s="21"/>
    </row>
    <row r="786" customFormat="false" ht="15" hidden="false" customHeight="false" outlineLevel="0" collapsed="false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2"/>
      <c r="W786" s="22"/>
      <c r="X786" s="21"/>
    </row>
    <row r="787" customFormat="false" ht="15" hidden="false" customHeight="false" outlineLevel="0" collapsed="false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2"/>
      <c r="W787" s="22"/>
      <c r="X787" s="21"/>
    </row>
    <row r="788" customFormat="false" ht="15" hidden="false" customHeight="false" outlineLevel="0" collapsed="false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2"/>
      <c r="W788" s="22"/>
      <c r="X788" s="21"/>
    </row>
    <row r="789" customFormat="false" ht="15" hidden="false" customHeight="false" outlineLevel="0" collapsed="false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2"/>
      <c r="W789" s="22"/>
      <c r="X789" s="21"/>
    </row>
    <row r="790" customFormat="false" ht="15" hidden="false" customHeight="false" outlineLevel="0" collapsed="false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2"/>
      <c r="W790" s="22"/>
      <c r="X790" s="21"/>
    </row>
    <row r="791" customFormat="false" ht="15" hidden="false" customHeight="false" outlineLevel="0" collapsed="false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2"/>
      <c r="W791" s="22"/>
      <c r="X791" s="21"/>
    </row>
    <row r="792" customFormat="false" ht="15" hidden="false" customHeight="false" outlineLevel="0" collapsed="false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2"/>
      <c r="W792" s="22"/>
      <c r="X792" s="21"/>
    </row>
    <row r="793" customFormat="false" ht="15" hidden="false" customHeight="false" outlineLevel="0" collapsed="false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2"/>
      <c r="W793" s="22"/>
      <c r="X793" s="21"/>
    </row>
    <row r="794" customFormat="false" ht="15" hidden="false" customHeight="false" outlineLevel="0" collapsed="false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2"/>
      <c r="W794" s="22"/>
      <c r="X794" s="21"/>
    </row>
    <row r="795" customFormat="false" ht="15" hidden="false" customHeight="false" outlineLevel="0" collapsed="false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2"/>
      <c r="W795" s="22"/>
      <c r="X795" s="21"/>
    </row>
    <row r="796" customFormat="false" ht="15" hidden="false" customHeight="false" outlineLevel="0" collapsed="false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2"/>
      <c r="W796" s="22"/>
      <c r="X796" s="21"/>
    </row>
    <row r="797" customFormat="false" ht="15" hidden="false" customHeight="false" outlineLevel="0" collapsed="false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2"/>
      <c r="W797" s="22"/>
      <c r="X797" s="21"/>
    </row>
    <row r="798" customFormat="false" ht="15" hidden="false" customHeight="false" outlineLevel="0" collapsed="false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2"/>
      <c r="W798" s="22"/>
      <c r="X798" s="21"/>
    </row>
    <row r="799" customFormat="false" ht="15" hidden="false" customHeight="false" outlineLevel="0" collapsed="false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2"/>
      <c r="W799" s="22"/>
      <c r="X799" s="21"/>
    </row>
    <row r="800" customFormat="false" ht="15" hidden="false" customHeight="false" outlineLevel="0" collapsed="false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2"/>
      <c r="W800" s="22"/>
      <c r="X800" s="21"/>
    </row>
  </sheetData>
  <dataValidations count="9">
    <dataValidation allowBlank="true" errorStyle="stop" operator="between" showDropDown="false" showErrorMessage="false" showInputMessage="false" sqref="C4:C800" type="list">
      <formula1>"Tours &amp; Watersports,Guesthouse / Rental,Restaurant / Bar,Food Truck,Trades / Contractor,Auto / Car Rental,Professional Services,Health / Clinic,Retail / Boutique,Salon / Barber,Gym / Fitness,Events / Wedding,Other"</formula1>
      <formula2>0</formula2>
    </dataValidation>
    <dataValidation allowBlank="true" errorStyle="stop" operator="between" showDropDown="false" showErrorMessage="false" showInputMessage="false" sqref="D4:D800" type="list">
      <formula1>"Oranjestad,Noord,Palm Beach,Eagle Beach,Malmok,San Nicolas,Santa Cruz,Savaneta,Paradera,Piedra Plat,Other"</formula1>
      <formula2>0</formula2>
    </dataValidation>
    <dataValidation allowBlank="true" errorStyle="stop" operator="between" showDropDown="false" showErrorMessage="false" showInputMessage="false" sqref="I4:I800" type="list">
      <formula1>"Yes,No,Unknown,N/A"</formula1>
      <formula2>0</formula2>
    </dataValidation>
    <dataValidation allowBlank="true" errorStyle="stop" operator="between" showDropDown="false" showErrorMessage="false" showInputMessage="false" sqref="J4:J800" type="list">
      <formula1>"Yes,No,Unknown,N/A"</formula1>
      <formula2>0</formula2>
    </dataValidation>
    <dataValidation allowBlank="true" errorStyle="stop" operator="between" showDropDown="false" showErrorMessage="false" showInputMessage="false" sqref="K4:K800" type="list">
      <formula1>"Yes,No,Unknown,N/A"</formula1>
      <formula2>0</formula2>
    </dataValidation>
    <dataValidation allowBlank="true" errorStyle="stop" operator="between" showDropDown="false" showErrorMessage="false" showInputMessage="false" sqref="M4:M800" type="list">
      <formula1>"Yes,No,Unknown,N/A"</formula1>
      <formula2>0</formula2>
    </dataValidation>
    <dataValidation allowBlank="true" errorStyle="stop" operator="between" showDropDown="false" showErrorMessage="false" showInputMessage="false" sqref="L4:L800" type="list">
      <formula1>"Tier A,Tier B,Tier C"</formula1>
      <formula2>0</formula2>
    </dataValidation>
    <dataValidation allowBlank="true" errorStyle="stop" operator="between" showDropDown="false" showErrorMessage="false" showInputMessage="false" sqref="O4:O800" type="list">
      <formula1>"Email,Messenger,Instagram,WhatsApp,Walk-in"</formula1>
      <formula2>0</formula2>
    </dataValidation>
    <dataValidation allowBlank="true" errorStyle="stop" operator="between" showDropDown="false" showErrorMessage="false" showInputMessage="false" sqref="U4:U800" type="list">
      <formula1>"Not started,Sequenced,Replied,Meeting booked,Proposal sent,Won,Lost,Unsubscribed"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16"/>
  </cols>
  <sheetData>
    <row r="2" customFormat="false" ht="17.35" hidden="false" customHeight="false" outlineLevel="0" collapsed="false">
      <c r="B2" s="23" t="s">
        <v>139</v>
      </c>
    </row>
    <row r="3" customFormat="false" ht="15" hidden="false" customHeight="false" outlineLevel="0" collapsed="false">
      <c r="B3" s="2" t="s">
        <v>140</v>
      </c>
    </row>
    <row r="5" customFormat="false" ht="27.75" hidden="false" customHeight="true" outlineLevel="0" collapsed="false">
      <c r="B5" s="17" t="s">
        <v>141</v>
      </c>
      <c r="C5" s="17" t="s">
        <v>83</v>
      </c>
      <c r="D5" s="17" t="s">
        <v>142</v>
      </c>
      <c r="E5" s="17" t="s">
        <v>143</v>
      </c>
      <c r="F5" s="17" t="s">
        <v>144</v>
      </c>
    </row>
    <row r="6" customFormat="false" ht="33.75" hidden="false" customHeight="true" outlineLevel="0" collapsed="false">
      <c r="B6" s="24" t="s">
        <v>145</v>
      </c>
      <c r="C6" s="25" t="s">
        <v>86</v>
      </c>
      <c r="D6" s="25" t="s">
        <v>146</v>
      </c>
      <c r="E6" s="25" t="s">
        <v>147</v>
      </c>
      <c r="F6" s="25" t="s">
        <v>148</v>
      </c>
    </row>
    <row r="7" customFormat="false" ht="33.75" hidden="false" customHeight="true" outlineLevel="0" collapsed="false">
      <c r="B7" s="24" t="s">
        <v>145</v>
      </c>
      <c r="C7" s="25" t="s">
        <v>87</v>
      </c>
      <c r="D7" s="25" t="s">
        <v>149</v>
      </c>
      <c r="E7" s="25" t="s">
        <v>150</v>
      </c>
      <c r="F7" s="25" t="s">
        <v>148</v>
      </c>
    </row>
    <row r="8" customFormat="false" ht="33.75" hidden="false" customHeight="true" outlineLevel="0" collapsed="false">
      <c r="B8" s="24" t="s">
        <v>145</v>
      </c>
      <c r="C8" s="25" t="s">
        <v>88</v>
      </c>
      <c r="D8" s="25" t="s">
        <v>151</v>
      </c>
      <c r="E8" s="25" t="s">
        <v>152</v>
      </c>
      <c r="F8" s="25" t="s">
        <v>153</v>
      </c>
    </row>
    <row r="9" customFormat="false" ht="33.75" hidden="false" customHeight="true" outlineLevel="0" collapsed="false">
      <c r="B9" s="24" t="s">
        <v>145</v>
      </c>
      <c r="C9" s="25" t="s">
        <v>89</v>
      </c>
      <c r="D9" s="25" t="s">
        <v>154</v>
      </c>
      <c r="E9" s="25" t="s">
        <v>155</v>
      </c>
      <c r="F9" s="25" t="s">
        <v>148</v>
      </c>
    </row>
    <row r="10" customFormat="false" ht="33.75" hidden="false" customHeight="true" outlineLevel="0" collapsed="false">
      <c r="B10" s="26" t="s">
        <v>156</v>
      </c>
      <c r="C10" s="25" t="s">
        <v>90</v>
      </c>
      <c r="D10" s="25" t="s">
        <v>157</v>
      </c>
      <c r="E10" s="25" t="s">
        <v>158</v>
      </c>
      <c r="F10" s="25" t="s">
        <v>159</v>
      </c>
    </row>
    <row r="11" customFormat="false" ht="33.75" hidden="false" customHeight="true" outlineLevel="0" collapsed="false">
      <c r="B11" s="26" t="s">
        <v>156</v>
      </c>
      <c r="C11" s="25" t="s">
        <v>91</v>
      </c>
      <c r="D11" s="25" t="s">
        <v>160</v>
      </c>
      <c r="E11" s="25" t="s">
        <v>161</v>
      </c>
      <c r="F11" s="25" t="s">
        <v>162</v>
      </c>
    </row>
    <row r="12" customFormat="false" ht="33.75" hidden="false" customHeight="true" outlineLevel="0" collapsed="false">
      <c r="B12" s="26" t="s">
        <v>156</v>
      </c>
      <c r="C12" s="25" t="s">
        <v>92</v>
      </c>
      <c r="D12" s="25" t="s">
        <v>163</v>
      </c>
      <c r="E12" s="25" t="s">
        <v>164</v>
      </c>
      <c r="F12" s="25" t="s">
        <v>165</v>
      </c>
    </row>
    <row r="13" customFormat="false" ht="33.75" hidden="false" customHeight="true" outlineLevel="0" collapsed="false">
      <c r="B13" s="26" t="s">
        <v>156</v>
      </c>
      <c r="C13" s="25" t="s">
        <v>93</v>
      </c>
      <c r="D13" s="25" t="s">
        <v>166</v>
      </c>
      <c r="E13" s="25" t="s">
        <v>167</v>
      </c>
      <c r="F13" s="25" t="s">
        <v>168</v>
      </c>
    </row>
    <row r="14" customFormat="false" ht="33.75" hidden="false" customHeight="true" outlineLevel="0" collapsed="false">
      <c r="B14" s="27" t="s">
        <v>169</v>
      </c>
      <c r="C14" s="25" t="s">
        <v>94</v>
      </c>
      <c r="D14" s="25" t="s">
        <v>170</v>
      </c>
      <c r="E14" s="25" t="s">
        <v>171</v>
      </c>
      <c r="F14" s="25" t="s">
        <v>172</v>
      </c>
    </row>
    <row r="15" customFormat="false" ht="33.75" hidden="false" customHeight="true" outlineLevel="0" collapsed="false">
      <c r="B15" s="27" t="s">
        <v>169</v>
      </c>
      <c r="C15" s="25" t="s">
        <v>95</v>
      </c>
      <c r="D15" s="25" t="s">
        <v>173</v>
      </c>
      <c r="E15" s="25" t="s">
        <v>174</v>
      </c>
      <c r="F15" s="25" t="s">
        <v>175</v>
      </c>
    </row>
    <row r="16" customFormat="false" ht="33.75" hidden="false" customHeight="true" outlineLevel="0" collapsed="false">
      <c r="B16" s="27" t="s">
        <v>169</v>
      </c>
      <c r="C16" s="25" t="s">
        <v>96</v>
      </c>
      <c r="D16" s="25" t="s">
        <v>176</v>
      </c>
      <c r="E16" s="25" t="s">
        <v>177</v>
      </c>
      <c r="F16" s="25" t="s">
        <v>178</v>
      </c>
    </row>
    <row r="17" customFormat="false" ht="33.75" hidden="false" customHeight="true" outlineLevel="0" collapsed="false">
      <c r="B17" s="27" t="s">
        <v>169</v>
      </c>
      <c r="C17" s="25" t="s">
        <v>97</v>
      </c>
      <c r="D17" s="25" t="s">
        <v>179</v>
      </c>
      <c r="E17" s="25" t="s">
        <v>180</v>
      </c>
      <c r="F17" s="25" t="s">
        <v>178</v>
      </c>
    </row>
    <row r="20" customFormat="false" ht="15" hidden="false" customHeight="false" outlineLevel="0" collapsed="false">
      <c r="B20" s="2" t="s">
        <v>181</v>
      </c>
    </row>
    <row r="21" customFormat="false" ht="15" hidden="false" customHeight="false" outlineLevel="0" collapsed="false">
      <c r="B21" s="9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6" min="5" style="0" width="10"/>
    <col collapsed="false" customWidth="true" hidden="false" outlineLevel="0" max="7" min="7" style="0" width="17"/>
    <col collapsed="false" customWidth="true" hidden="false" outlineLevel="0" max="9" min="8" style="0" width="11"/>
  </cols>
  <sheetData>
    <row r="2" customFormat="false" ht="17.35" hidden="false" customHeight="false" outlineLevel="0" collapsed="false">
      <c r="B2" s="23" t="s">
        <v>183</v>
      </c>
    </row>
    <row r="3" customFormat="false" ht="15" hidden="false" customHeight="false" outlineLevel="0" collapsed="false">
      <c r="B3" s="2" t="s">
        <v>184</v>
      </c>
    </row>
    <row r="5" customFormat="false" ht="27.75" hidden="false" customHeight="true" outlineLevel="0" collapsed="false">
      <c r="B5" s="17" t="s">
        <v>185</v>
      </c>
      <c r="C5" s="17" t="s">
        <v>186</v>
      </c>
      <c r="D5" s="17" t="s">
        <v>187</v>
      </c>
      <c r="E5" s="17" t="s">
        <v>188</v>
      </c>
      <c r="F5" s="17" t="s">
        <v>189</v>
      </c>
      <c r="G5" s="17" t="s">
        <v>59</v>
      </c>
      <c r="H5" s="17" t="s">
        <v>190</v>
      </c>
      <c r="I5" s="17" t="s">
        <v>191</v>
      </c>
    </row>
    <row r="6" customFormat="false" ht="15" hidden="false" customHeight="false" outlineLevel="0" collapsed="false">
      <c r="B6" s="28" t="s">
        <v>135</v>
      </c>
      <c r="C6" s="28" t="n">
        <v>25</v>
      </c>
      <c r="D6" s="28" t="n">
        <v>0</v>
      </c>
      <c r="E6" s="28" t="n">
        <v>1</v>
      </c>
      <c r="F6" s="28" t="n">
        <v>1</v>
      </c>
      <c r="G6" s="28" t="n">
        <v>0</v>
      </c>
      <c r="H6" s="29" t="n">
        <f aca="false">IFERROR(D6/C6,"")</f>
        <v>0</v>
      </c>
      <c r="I6" s="29" t="n">
        <f aca="false">IFERROR(E6/C6,"")</f>
        <v>0.04</v>
      </c>
    </row>
    <row r="7" customFormat="false" ht="15" hidden="false" customHeight="false" outlineLevel="0" collapsed="false">
      <c r="B7" s="28"/>
      <c r="C7" s="28"/>
      <c r="D7" s="28"/>
      <c r="E7" s="28"/>
      <c r="F7" s="28"/>
      <c r="G7" s="28"/>
      <c r="H7" s="29" t="str">
        <f aca="false">IFERROR(D7/C7,"")</f>
        <v/>
      </c>
      <c r="I7" s="29" t="str">
        <f aca="false">IFERROR(E7/C7,"")</f>
        <v/>
      </c>
    </row>
    <row r="8" customFormat="false" ht="15" hidden="false" customHeight="false" outlineLevel="0" collapsed="false">
      <c r="B8" s="28"/>
      <c r="C8" s="28"/>
      <c r="D8" s="28"/>
      <c r="E8" s="28"/>
      <c r="F8" s="28"/>
      <c r="G8" s="28"/>
      <c r="H8" s="29" t="str">
        <f aca="false">IFERROR(D8/C8,"")</f>
        <v/>
      </c>
      <c r="I8" s="29" t="str">
        <f aca="false">IFERROR(E8/C8,"")</f>
        <v/>
      </c>
    </row>
    <row r="9" customFormat="false" ht="15" hidden="false" customHeight="false" outlineLevel="0" collapsed="false">
      <c r="B9" s="28"/>
      <c r="C9" s="28"/>
      <c r="D9" s="28"/>
      <c r="E9" s="28"/>
      <c r="F9" s="28"/>
      <c r="G9" s="28"/>
      <c r="H9" s="29" t="str">
        <f aca="false">IFERROR(D9/C9,"")</f>
        <v/>
      </c>
      <c r="I9" s="29" t="str">
        <f aca="false">IFERROR(E9/C9,"")</f>
        <v/>
      </c>
    </row>
    <row r="10" customFormat="false" ht="15" hidden="false" customHeight="false" outlineLevel="0" collapsed="false">
      <c r="B10" s="28"/>
      <c r="C10" s="28"/>
      <c r="D10" s="28"/>
      <c r="E10" s="28"/>
      <c r="F10" s="28"/>
      <c r="G10" s="28"/>
      <c r="H10" s="29" t="str">
        <f aca="false">IFERROR(D10/C10,"")</f>
        <v/>
      </c>
      <c r="I10" s="29" t="str">
        <f aca="false">IFERROR(E10/C10,"")</f>
        <v/>
      </c>
    </row>
    <row r="11" customFormat="false" ht="15" hidden="false" customHeight="false" outlineLevel="0" collapsed="false">
      <c r="B11" s="28"/>
      <c r="C11" s="28"/>
      <c r="D11" s="28"/>
      <c r="E11" s="28"/>
      <c r="F11" s="28"/>
      <c r="G11" s="28"/>
      <c r="H11" s="29" t="str">
        <f aca="false">IFERROR(D11/C11,"")</f>
        <v/>
      </c>
      <c r="I11" s="29" t="str">
        <f aca="false">IFERROR(E11/C11,"")</f>
        <v/>
      </c>
    </row>
    <row r="12" customFormat="false" ht="15" hidden="false" customHeight="false" outlineLevel="0" collapsed="false">
      <c r="B12" s="28"/>
      <c r="C12" s="28"/>
      <c r="D12" s="28"/>
      <c r="E12" s="28"/>
      <c r="F12" s="28"/>
      <c r="G12" s="28"/>
      <c r="H12" s="29" t="str">
        <f aca="false">IFERROR(D12/C12,"")</f>
        <v/>
      </c>
      <c r="I12" s="29" t="str">
        <f aca="false">IFERROR(E12/C12,"")</f>
        <v/>
      </c>
    </row>
    <row r="13" customFormat="false" ht="15" hidden="false" customHeight="false" outlineLevel="0" collapsed="false">
      <c r="B13" s="28"/>
      <c r="C13" s="28"/>
      <c r="D13" s="28"/>
      <c r="E13" s="28"/>
      <c r="F13" s="28"/>
      <c r="G13" s="28"/>
      <c r="H13" s="29" t="str">
        <f aca="false">IFERROR(D13/C13,"")</f>
        <v/>
      </c>
      <c r="I13" s="29" t="str">
        <f aca="false">IFERROR(E13/C13,"")</f>
        <v/>
      </c>
    </row>
    <row r="14" customFormat="false" ht="15" hidden="false" customHeight="false" outlineLevel="0" collapsed="false">
      <c r="B14" s="28"/>
      <c r="C14" s="28"/>
      <c r="D14" s="28"/>
      <c r="E14" s="28"/>
      <c r="F14" s="28"/>
      <c r="G14" s="28"/>
      <c r="H14" s="29" t="str">
        <f aca="false">IFERROR(D14/C14,"")</f>
        <v/>
      </c>
      <c r="I14" s="29" t="str">
        <f aca="false">IFERROR(E14/C14,"")</f>
        <v/>
      </c>
    </row>
    <row r="15" customFormat="false" ht="15" hidden="false" customHeight="false" outlineLevel="0" collapsed="false">
      <c r="B15" s="28"/>
      <c r="C15" s="28"/>
      <c r="D15" s="28"/>
      <c r="E15" s="28"/>
      <c r="F15" s="28"/>
      <c r="G15" s="28"/>
      <c r="H15" s="29" t="str">
        <f aca="false">IFERROR(D15/C15,"")</f>
        <v/>
      </c>
      <c r="I15" s="29" t="str">
        <f aca="false">IFERROR(E15/C15,"")</f>
        <v/>
      </c>
    </row>
    <row r="16" customFormat="false" ht="15" hidden="false" customHeight="false" outlineLevel="0" collapsed="false">
      <c r="B16" s="28"/>
      <c r="C16" s="28"/>
      <c r="D16" s="28"/>
      <c r="E16" s="28"/>
      <c r="F16" s="28"/>
      <c r="G16" s="28"/>
      <c r="H16" s="29" t="str">
        <f aca="false">IFERROR(D16/C16,"")</f>
        <v/>
      </c>
      <c r="I16" s="29" t="str">
        <f aca="false">IFERROR(E16/C16,"")</f>
        <v/>
      </c>
    </row>
    <row r="17" customFormat="false" ht="15" hidden="false" customHeight="false" outlineLevel="0" collapsed="false">
      <c r="B17" s="28"/>
      <c r="C17" s="28"/>
      <c r="D17" s="28"/>
      <c r="E17" s="28"/>
      <c r="F17" s="28"/>
      <c r="G17" s="28"/>
      <c r="H17" s="29" t="str">
        <f aca="false">IFERROR(D17/C17,"")</f>
        <v/>
      </c>
      <c r="I17" s="29" t="str">
        <f aca="false">IFERROR(E17/C17,"")</f>
        <v/>
      </c>
    </row>
    <row r="18" customFormat="false" ht="15" hidden="false" customHeight="false" outlineLevel="0" collapsed="false">
      <c r="B18" s="28"/>
      <c r="C18" s="28"/>
      <c r="D18" s="28"/>
      <c r="E18" s="28"/>
      <c r="F18" s="28"/>
      <c r="G18" s="28"/>
      <c r="H18" s="29" t="str">
        <f aca="false">IFERROR(D18/C18,"")</f>
        <v/>
      </c>
      <c r="I18" s="29" t="str">
        <f aca="false">IFERROR(E18/C18,"")</f>
        <v/>
      </c>
    </row>
    <row r="19" customFormat="false" ht="15" hidden="false" customHeight="false" outlineLevel="0" collapsed="false">
      <c r="B19" s="28"/>
      <c r="C19" s="28"/>
      <c r="D19" s="28"/>
      <c r="E19" s="28"/>
      <c r="F19" s="28"/>
      <c r="G19" s="28"/>
      <c r="H19" s="29" t="str">
        <f aca="false">IFERROR(D19/C19,"")</f>
        <v/>
      </c>
      <c r="I19" s="29" t="str">
        <f aca="false">IFERROR(E19/C19,"")</f>
        <v/>
      </c>
    </row>
    <row r="20" customFormat="false" ht="15" hidden="false" customHeight="false" outlineLevel="0" collapsed="false">
      <c r="B20" s="28"/>
      <c r="C20" s="28"/>
      <c r="D20" s="28"/>
      <c r="E20" s="28"/>
      <c r="F20" s="28"/>
      <c r="G20" s="28"/>
      <c r="H20" s="29" t="str">
        <f aca="false">IFERROR(D20/C20,"")</f>
        <v/>
      </c>
      <c r="I20" s="29" t="str">
        <f aca="false">IFERROR(E20/C20,"")</f>
        <v/>
      </c>
    </row>
    <row r="21" customFormat="false" ht="15" hidden="false" customHeight="false" outlineLevel="0" collapsed="false">
      <c r="B21" s="28"/>
      <c r="C21" s="28"/>
      <c r="D21" s="28"/>
      <c r="E21" s="28"/>
      <c r="F21" s="28"/>
      <c r="G21" s="28"/>
      <c r="H21" s="29" t="str">
        <f aca="false">IFERROR(D21/C21,"")</f>
        <v/>
      </c>
      <c r="I21" s="29" t="str">
        <f aca="false">IFERROR(E21/C21,"")</f>
        <v/>
      </c>
    </row>
    <row r="22" customFormat="false" ht="15" hidden="false" customHeight="false" outlineLevel="0" collapsed="false">
      <c r="B22" s="28"/>
      <c r="C22" s="28"/>
      <c r="D22" s="28"/>
      <c r="E22" s="28"/>
      <c r="F22" s="28"/>
      <c r="G22" s="28"/>
      <c r="H22" s="29" t="str">
        <f aca="false">IFERROR(D22/C22,"")</f>
        <v/>
      </c>
      <c r="I22" s="29" t="str">
        <f aca="false">IFERROR(E22/C22,"")</f>
        <v/>
      </c>
    </row>
    <row r="23" customFormat="false" ht="15" hidden="false" customHeight="false" outlineLevel="0" collapsed="false">
      <c r="B23" s="28"/>
      <c r="C23" s="28"/>
      <c r="D23" s="28"/>
      <c r="E23" s="28"/>
      <c r="F23" s="28"/>
      <c r="G23" s="28"/>
      <c r="H23" s="29" t="str">
        <f aca="false">IFERROR(D23/C23,"")</f>
        <v/>
      </c>
      <c r="I23" s="29" t="str">
        <f aca="false">IFERROR(E23/C23,"")</f>
        <v/>
      </c>
    </row>
    <row r="24" customFormat="false" ht="15" hidden="false" customHeight="false" outlineLevel="0" collapsed="false">
      <c r="B24" s="28"/>
      <c r="C24" s="28"/>
      <c r="D24" s="28"/>
      <c r="E24" s="28"/>
      <c r="F24" s="28"/>
      <c r="G24" s="28"/>
      <c r="H24" s="29" t="str">
        <f aca="false">IFERROR(D24/C24,"")</f>
        <v/>
      </c>
      <c r="I24" s="29" t="str">
        <f aca="false">IFERROR(E24/C24,"")</f>
        <v/>
      </c>
    </row>
    <row r="25" customFormat="false" ht="15" hidden="false" customHeight="false" outlineLevel="0" collapsed="false">
      <c r="B25" s="28"/>
      <c r="C25" s="28"/>
      <c r="D25" s="28"/>
      <c r="E25" s="28"/>
      <c r="F25" s="28"/>
      <c r="G25" s="28"/>
      <c r="H25" s="29" t="str">
        <f aca="false">IFERROR(D25/C25,"")</f>
        <v/>
      </c>
      <c r="I25" s="29" t="str">
        <f aca="false">IFERROR(E25/C25,"")</f>
        <v/>
      </c>
    </row>
    <row r="26" customFormat="false" ht="15" hidden="false" customHeight="false" outlineLevel="0" collapsed="false">
      <c r="B26" s="28"/>
      <c r="C26" s="28"/>
      <c r="D26" s="28"/>
      <c r="E26" s="28"/>
      <c r="F26" s="28"/>
      <c r="G26" s="28"/>
      <c r="H26" s="29" t="str">
        <f aca="false">IFERROR(D26/C26,"")</f>
        <v/>
      </c>
      <c r="I26" s="29" t="str">
        <f aca="false">IFERROR(E26/C26,"")</f>
        <v/>
      </c>
    </row>
    <row r="27" customFormat="false" ht="15" hidden="false" customHeight="false" outlineLevel="0" collapsed="false">
      <c r="B27" s="28"/>
      <c r="C27" s="28"/>
      <c r="D27" s="28"/>
      <c r="E27" s="28"/>
      <c r="F27" s="28"/>
      <c r="G27" s="28"/>
      <c r="H27" s="29" t="str">
        <f aca="false">IFERROR(D27/C27,"")</f>
        <v/>
      </c>
      <c r="I27" s="29" t="str">
        <f aca="false">IFERROR(E27/C27,"")</f>
        <v/>
      </c>
    </row>
    <row r="28" customFormat="false" ht="15" hidden="false" customHeight="false" outlineLevel="0" collapsed="false">
      <c r="B28" s="28"/>
      <c r="C28" s="28"/>
      <c r="D28" s="28"/>
      <c r="E28" s="28"/>
      <c r="F28" s="28"/>
      <c r="G28" s="28"/>
      <c r="H28" s="29" t="str">
        <f aca="false">IFERROR(D28/C28,"")</f>
        <v/>
      </c>
      <c r="I28" s="29" t="str">
        <f aca="false">IFERROR(E28/C28,"")</f>
        <v/>
      </c>
    </row>
    <row r="29" customFormat="false" ht="15" hidden="false" customHeight="false" outlineLevel="0" collapsed="false">
      <c r="B29" s="28"/>
      <c r="C29" s="28"/>
      <c r="D29" s="28"/>
      <c r="E29" s="28"/>
      <c r="F29" s="28"/>
      <c r="G29" s="28"/>
      <c r="H29" s="29" t="str">
        <f aca="false">IFERROR(D29/C29,"")</f>
        <v/>
      </c>
      <c r="I29" s="29" t="str">
        <f aca="false">IFERROR(E29/C29,"")</f>
        <v/>
      </c>
    </row>
    <row r="30" customFormat="false" ht="15" hidden="false" customHeight="false" outlineLevel="0" collapsed="false">
      <c r="B30" s="28"/>
      <c r="C30" s="28"/>
      <c r="D30" s="28"/>
      <c r="E30" s="28"/>
      <c r="F30" s="28"/>
      <c r="G30" s="28"/>
      <c r="H30" s="29" t="str">
        <f aca="false">IFERROR(D30/C30,"")</f>
        <v/>
      </c>
      <c r="I30" s="29" t="str">
        <f aca="false">IFERROR(E30/C30,"")</f>
        <v/>
      </c>
    </row>
    <row r="31" customFormat="false" ht="15" hidden="false" customHeight="false" outlineLevel="0" collapsed="false">
      <c r="B31" s="28"/>
      <c r="C31" s="28"/>
      <c r="D31" s="28"/>
      <c r="E31" s="28"/>
      <c r="F31" s="28"/>
      <c r="G31" s="28"/>
      <c r="H31" s="29" t="str">
        <f aca="false">IFERROR(D31/C31,"")</f>
        <v/>
      </c>
      <c r="I31" s="29" t="str">
        <f aca="false">IFERROR(E31/C31,"")</f>
        <v/>
      </c>
    </row>
    <row r="32" customFormat="false" ht="15" hidden="false" customHeight="false" outlineLevel="0" collapsed="false">
      <c r="B32" s="28"/>
      <c r="C32" s="28"/>
      <c r="D32" s="28"/>
      <c r="E32" s="28"/>
      <c r="F32" s="28"/>
      <c r="G32" s="28"/>
      <c r="H32" s="29" t="str">
        <f aca="false">IFERROR(D32/C32,"")</f>
        <v/>
      </c>
      <c r="I32" s="29" t="str">
        <f aca="false">IFERROR(E32/C32,"")</f>
        <v/>
      </c>
    </row>
    <row r="33" customFormat="false" ht="15" hidden="false" customHeight="false" outlineLevel="0" collapsed="false">
      <c r="B33" s="28"/>
      <c r="C33" s="28"/>
      <c r="D33" s="28"/>
      <c r="E33" s="28"/>
      <c r="F33" s="28"/>
      <c r="G33" s="28"/>
      <c r="H33" s="29" t="str">
        <f aca="false">IFERROR(D33/C33,"")</f>
        <v/>
      </c>
      <c r="I33" s="29" t="str">
        <f aca="false">IFERROR(E33/C33,"")</f>
        <v/>
      </c>
    </row>
    <row r="34" customFormat="false" ht="15" hidden="false" customHeight="false" outlineLevel="0" collapsed="false">
      <c r="B34" s="28"/>
      <c r="C34" s="28"/>
      <c r="D34" s="28"/>
      <c r="E34" s="28"/>
      <c r="F34" s="28"/>
      <c r="G34" s="28"/>
      <c r="H34" s="29" t="str">
        <f aca="false">IFERROR(D34/C34,"")</f>
        <v/>
      </c>
      <c r="I34" s="29" t="str">
        <f aca="false">IFERROR(E34/C34,"")</f>
        <v/>
      </c>
    </row>
    <row r="35" customFormat="false" ht="15" hidden="false" customHeight="false" outlineLevel="0" collapsed="false">
      <c r="B35" s="28"/>
      <c r="C35" s="28"/>
      <c r="D35" s="28"/>
      <c r="E35" s="28"/>
      <c r="F35" s="28"/>
      <c r="G35" s="28"/>
      <c r="H35" s="29" t="str">
        <f aca="false">IFERROR(D35/C35,"")</f>
        <v/>
      </c>
      <c r="I35" s="29" t="str">
        <f aca="false">IFERROR(E35/C35,"")</f>
        <v/>
      </c>
    </row>
    <row r="36" customFormat="false" ht="15" hidden="false" customHeight="false" outlineLevel="0" collapsed="false">
      <c r="B36" s="28"/>
      <c r="C36" s="28"/>
      <c r="D36" s="28"/>
      <c r="E36" s="28"/>
      <c r="F36" s="28"/>
      <c r="G36" s="28"/>
      <c r="H36" s="29" t="str">
        <f aca="false">IFERROR(D36/C36,"")</f>
        <v/>
      </c>
      <c r="I36" s="29" t="str">
        <f aca="false">IFERROR(E36/C36,"")</f>
        <v/>
      </c>
    </row>
    <row r="37" customFormat="false" ht="15" hidden="false" customHeight="false" outlineLevel="0" collapsed="false">
      <c r="B37" s="28"/>
      <c r="C37" s="28"/>
      <c r="D37" s="28"/>
      <c r="E37" s="28"/>
      <c r="F37" s="28"/>
      <c r="G37" s="28"/>
      <c r="H37" s="29" t="str">
        <f aca="false">IFERROR(D37/C37,"")</f>
        <v/>
      </c>
      <c r="I37" s="29" t="str">
        <f aca="false">IFERROR(E37/C37,"")</f>
        <v/>
      </c>
    </row>
    <row r="38" customFormat="false" ht="15" hidden="false" customHeight="false" outlineLevel="0" collapsed="false">
      <c r="B38" s="28"/>
      <c r="C38" s="28"/>
      <c r="D38" s="28"/>
      <c r="E38" s="28"/>
      <c r="F38" s="28"/>
      <c r="G38" s="28"/>
      <c r="H38" s="29" t="str">
        <f aca="false">IFERROR(D38/C38,"")</f>
        <v/>
      </c>
      <c r="I38" s="29" t="str">
        <f aca="false">IFERROR(E38/C38,"")</f>
        <v/>
      </c>
    </row>
    <row r="39" customFormat="false" ht="15" hidden="false" customHeight="false" outlineLevel="0" collapsed="false">
      <c r="B39" s="28"/>
      <c r="C39" s="28"/>
      <c r="D39" s="28"/>
      <c r="E39" s="28"/>
      <c r="F39" s="28"/>
      <c r="G39" s="28"/>
      <c r="H39" s="29" t="str">
        <f aca="false">IFERROR(D39/C39,"")</f>
        <v/>
      </c>
      <c r="I39" s="29" t="str">
        <f aca="false">IFERROR(E39/C39,"")</f>
        <v/>
      </c>
    </row>
    <row r="40" customFormat="false" ht="15" hidden="false" customHeight="false" outlineLevel="0" collapsed="false">
      <c r="B40" s="28"/>
      <c r="C40" s="28"/>
      <c r="D40" s="28"/>
      <c r="E40" s="28"/>
      <c r="F40" s="28"/>
      <c r="G40" s="28"/>
      <c r="H40" s="29" t="str">
        <f aca="false">IFERROR(D40/C40,"")</f>
        <v/>
      </c>
      <c r="I40" s="29" t="str">
        <f aca="false">IFERROR(E40/C40,"")</f>
        <v/>
      </c>
    </row>
    <row r="41" customFormat="false" ht="15" hidden="false" customHeight="false" outlineLevel="0" collapsed="false">
      <c r="B41" s="28"/>
      <c r="C41" s="28"/>
      <c r="D41" s="28"/>
      <c r="E41" s="28"/>
      <c r="F41" s="28"/>
      <c r="G41" s="28"/>
      <c r="H41" s="29" t="str">
        <f aca="false">IFERROR(D41/C41,"")</f>
        <v/>
      </c>
      <c r="I41" s="29" t="str">
        <f aca="false">IFERROR(E41/C41,"")</f>
        <v/>
      </c>
    </row>
    <row r="42" customFormat="false" ht="15" hidden="false" customHeight="false" outlineLevel="0" collapsed="false">
      <c r="B42" s="28"/>
      <c r="C42" s="28"/>
      <c r="D42" s="28"/>
      <c r="E42" s="28"/>
      <c r="F42" s="28"/>
      <c r="G42" s="28"/>
      <c r="H42" s="29" t="str">
        <f aca="false">IFERROR(D42/C42,"")</f>
        <v/>
      </c>
      <c r="I42" s="29" t="str">
        <f aca="false">IFERROR(E42/C42,"")</f>
        <v/>
      </c>
    </row>
    <row r="43" customFormat="false" ht="15" hidden="false" customHeight="false" outlineLevel="0" collapsed="false">
      <c r="B43" s="28"/>
      <c r="C43" s="28"/>
      <c r="D43" s="28"/>
      <c r="E43" s="28"/>
      <c r="F43" s="28"/>
      <c r="G43" s="28"/>
      <c r="H43" s="29" t="str">
        <f aca="false">IFERROR(D43/C43,"")</f>
        <v/>
      </c>
      <c r="I43" s="29" t="str">
        <f aca="false">IFERROR(E43/C43,"")</f>
        <v/>
      </c>
    </row>
    <row r="44" customFormat="false" ht="15" hidden="false" customHeight="false" outlineLevel="0" collapsed="false">
      <c r="B44" s="28"/>
      <c r="C44" s="28"/>
      <c r="D44" s="28"/>
      <c r="E44" s="28"/>
      <c r="F44" s="28"/>
      <c r="G44" s="28"/>
      <c r="H44" s="29" t="str">
        <f aca="false">IFERROR(D44/C44,"")</f>
        <v/>
      </c>
      <c r="I44" s="29" t="str">
        <f aca="false">IFERROR(E44/C44,"")</f>
        <v/>
      </c>
    </row>
    <row r="45" customFormat="false" ht="15" hidden="false" customHeight="false" outlineLevel="0" collapsed="false">
      <c r="B45" s="28"/>
      <c r="C45" s="28"/>
      <c r="D45" s="28"/>
      <c r="E45" s="28"/>
      <c r="F45" s="28"/>
      <c r="G45" s="28"/>
      <c r="H45" s="29" t="str">
        <f aca="false">IFERROR(D45/C45,"")</f>
        <v/>
      </c>
      <c r="I45" s="29" t="str">
        <f aca="false">IFERROR(E45/C45,"")</f>
        <v/>
      </c>
    </row>
    <row r="46" customFormat="false" ht="15" hidden="false" customHeight="false" outlineLevel="0" collapsed="false">
      <c r="B46" s="28"/>
      <c r="C46" s="28"/>
      <c r="D46" s="28"/>
      <c r="E46" s="28"/>
      <c r="F46" s="28"/>
      <c r="G46" s="28"/>
      <c r="H46" s="29" t="str">
        <f aca="false">IFERROR(D46/C46,"")</f>
        <v/>
      </c>
      <c r="I46" s="29" t="str">
        <f aca="false">IFERROR(E46/C46,"")</f>
        <v/>
      </c>
    </row>
    <row r="47" customFormat="false" ht="15" hidden="false" customHeight="false" outlineLevel="0" collapsed="false">
      <c r="B47" s="28"/>
      <c r="C47" s="28"/>
      <c r="D47" s="28"/>
      <c r="E47" s="28"/>
      <c r="F47" s="28"/>
      <c r="G47" s="28"/>
      <c r="H47" s="29" t="str">
        <f aca="false">IFERROR(D47/C47,"")</f>
        <v/>
      </c>
      <c r="I47" s="29" t="str">
        <f aca="false">IFERROR(E47/C47,"")</f>
        <v/>
      </c>
    </row>
    <row r="48" customFormat="false" ht="15" hidden="false" customHeight="false" outlineLevel="0" collapsed="false">
      <c r="B48" s="28"/>
      <c r="C48" s="28"/>
      <c r="D48" s="28"/>
      <c r="E48" s="28"/>
      <c r="F48" s="28"/>
      <c r="G48" s="28"/>
      <c r="H48" s="29" t="str">
        <f aca="false">IFERROR(D48/C48,"")</f>
        <v/>
      </c>
      <c r="I48" s="29" t="str">
        <f aca="false">IFERROR(E48/C48,"")</f>
        <v/>
      </c>
    </row>
    <row r="49" customFormat="false" ht="15" hidden="false" customHeight="false" outlineLevel="0" collapsed="false">
      <c r="B49" s="28"/>
      <c r="C49" s="28"/>
      <c r="D49" s="28"/>
      <c r="E49" s="28"/>
      <c r="F49" s="28"/>
      <c r="G49" s="28"/>
      <c r="H49" s="29" t="str">
        <f aca="false">IFERROR(D49/C49,"")</f>
        <v/>
      </c>
      <c r="I49" s="29" t="str">
        <f aca="false">IFERROR(E49/C49,"")</f>
        <v/>
      </c>
    </row>
    <row r="50" customFormat="false" ht="15" hidden="false" customHeight="false" outlineLevel="0" collapsed="false">
      <c r="B50" s="28"/>
      <c r="C50" s="28"/>
      <c r="D50" s="28"/>
      <c r="E50" s="28"/>
      <c r="F50" s="28"/>
      <c r="G50" s="28"/>
      <c r="H50" s="29" t="str">
        <f aca="false">IFERROR(D50/C50,"")</f>
        <v/>
      </c>
      <c r="I50" s="29" t="str">
        <f aca="false">IFERROR(E50/C50,"")</f>
        <v/>
      </c>
    </row>
    <row r="51" customFormat="false" ht="15" hidden="false" customHeight="false" outlineLevel="0" collapsed="false">
      <c r="B51" s="28"/>
      <c r="C51" s="28"/>
      <c r="D51" s="28"/>
      <c r="E51" s="28"/>
      <c r="F51" s="28"/>
      <c r="G51" s="28"/>
      <c r="H51" s="29" t="str">
        <f aca="false">IFERROR(D51/C51,"")</f>
        <v/>
      </c>
      <c r="I51" s="29" t="str">
        <f aca="false">IFERROR(E51/C51,"")</f>
        <v/>
      </c>
    </row>
    <row r="52" customFormat="false" ht="15" hidden="false" customHeight="false" outlineLevel="0" collapsed="false">
      <c r="B52" s="28"/>
      <c r="C52" s="28"/>
      <c r="D52" s="28"/>
      <c r="E52" s="28"/>
      <c r="F52" s="28"/>
      <c r="G52" s="28"/>
      <c r="H52" s="29" t="str">
        <f aca="false">IFERROR(D52/C52,"")</f>
        <v/>
      </c>
      <c r="I52" s="29" t="str">
        <f aca="false">IFERROR(E52/C52,"")</f>
        <v/>
      </c>
    </row>
    <row r="53" customFormat="false" ht="15" hidden="false" customHeight="false" outlineLevel="0" collapsed="false">
      <c r="B53" s="28"/>
      <c r="C53" s="28"/>
      <c r="D53" s="28"/>
      <c r="E53" s="28"/>
      <c r="F53" s="28"/>
      <c r="G53" s="28"/>
      <c r="H53" s="29" t="str">
        <f aca="false">IFERROR(D53/C53,"")</f>
        <v/>
      </c>
      <c r="I53" s="29" t="str">
        <f aca="false">IFERROR(E53/C53,"")</f>
        <v/>
      </c>
    </row>
    <row r="54" customFormat="false" ht="15" hidden="false" customHeight="false" outlineLevel="0" collapsed="false">
      <c r="B54" s="28"/>
      <c r="C54" s="28"/>
      <c r="D54" s="28"/>
      <c r="E54" s="28"/>
      <c r="F54" s="28"/>
      <c r="G54" s="28"/>
      <c r="H54" s="29" t="str">
        <f aca="false">IFERROR(D54/C54,"")</f>
        <v/>
      </c>
      <c r="I54" s="29" t="str">
        <f aca="false">IFERROR(E54/C54,"")</f>
        <v/>
      </c>
    </row>
    <row r="55" customFormat="false" ht="15" hidden="false" customHeight="false" outlineLevel="0" collapsed="false">
      <c r="B55" s="28"/>
      <c r="C55" s="28"/>
      <c r="D55" s="28"/>
      <c r="E55" s="28"/>
      <c r="F55" s="28"/>
      <c r="G55" s="28"/>
      <c r="H55" s="29" t="str">
        <f aca="false">IFERROR(D55/C55,"")</f>
        <v/>
      </c>
      <c r="I55" s="29" t="str">
        <f aca="false">IFERROR(E55/C55,"")</f>
        <v/>
      </c>
    </row>
    <row r="56" customFormat="false" ht="15" hidden="false" customHeight="false" outlineLevel="0" collapsed="false">
      <c r="B56" s="28"/>
      <c r="C56" s="28"/>
      <c r="D56" s="28"/>
      <c r="E56" s="28"/>
      <c r="F56" s="28"/>
      <c r="G56" s="28"/>
      <c r="H56" s="29" t="str">
        <f aca="false">IFERROR(D56/C56,"")</f>
        <v/>
      </c>
      <c r="I56" s="29" t="str">
        <f aca="false">IFERROR(E56/C56,"")</f>
        <v/>
      </c>
    </row>
    <row r="57" customFormat="false" ht="15" hidden="false" customHeight="false" outlineLevel="0" collapsed="false">
      <c r="B57" s="28"/>
      <c r="C57" s="28"/>
      <c r="D57" s="28"/>
      <c r="E57" s="28"/>
      <c r="F57" s="28"/>
      <c r="G57" s="28"/>
      <c r="H57" s="29" t="str">
        <f aca="false">IFERROR(D57/C57,"")</f>
        <v/>
      </c>
      <c r="I57" s="29" t="str">
        <f aca="false">IFERROR(E57/C57,"")</f>
        <v/>
      </c>
    </row>
    <row r="58" customFormat="false" ht="15" hidden="false" customHeight="false" outlineLevel="0" collapsed="false">
      <c r="B58" s="28"/>
      <c r="C58" s="28"/>
      <c r="D58" s="28"/>
      <c r="E58" s="28"/>
      <c r="F58" s="28"/>
      <c r="G58" s="28"/>
      <c r="H58" s="29" t="str">
        <f aca="false">IFERROR(D58/C58,"")</f>
        <v/>
      </c>
      <c r="I58" s="29" t="str">
        <f aca="false">IFERROR(E58/C58,"")</f>
        <v/>
      </c>
    </row>
    <row r="59" customFormat="false" ht="15" hidden="false" customHeight="false" outlineLevel="0" collapsed="false">
      <c r="B59" s="28"/>
      <c r="C59" s="28"/>
      <c r="D59" s="28"/>
      <c r="E59" s="28"/>
      <c r="F59" s="28"/>
      <c r="G59" s="28"/>
      <c r="H59" s="29" t="str">
        <f aca="false">IFERROR(D59/C59,"")</f>
        <v/>
      </c>
      <c r="I59" s="29" t="str">
        <f aca="false">IFERROR(E59/C59,"")</f>
        <v/>
      </c>
    </row>
    <row r="60" customFormat="false" ht="15" hidden="false" customHeight="false" outlineLevel="0" collapsed="false">
      <c r="B60" s="28"/>
      <c r="C60" s="28"/>
      <c r="D60" s="28"/>
      <c r="E60" s="28"/>
      <c r="F60" s="28"/>
      <c r="G60" s="28"/>
      <c r="H60" s="29" t="str">
        <f aca="false">IFERROR(D60/C60,"")</f>
        <v/>
      </c>
      <c r="I60" s="29" t="str">
        <f aca="false">IFERROR(E60/C60,"")</f>
        <v/>
      </c>
    </row>
    <row r="61" customFormat="false" ht="15" hidden="false" customHeight="false" outlineLevel="0" collapsed="false">
      <c r="B61" s="28"/>
      <c r="C61" s="28"/>
      <c r="D61" s="28"/>
      <c r="E61" s="28"/>
      <c r="F61" s="28"/>
      <c r="G61" s="28"/>
      <c r="H61" s="29" t="str">
        <f aca="false">IFERROR(D61/C61,"")</f>
        <v/>
      </c>
      <c r="I61" s="29" t="str">
        <f aca="false">IFERROR(E61/C61,"")</f>
        <v/>
      </c>
    </row>
    <row r="62" customFormat="false" ht="15" hidden="false" customHeight="false" outlineLevel="0" collapsed="false">
      <c r="B62" s="28"/>
      <c r="C62" s="28"/>
      <c r="D62" s="28"/>
      <c r="E62" s="28"/>
      <c r="F62" s="28"/>
      <c r="G62" s="28"/>
      <c r="H62" s="29" t="str">
        <f aca="false">IFERROR(D62/C62,"")</f>
        <v/>
      </c>
      <c r="I62" s="29" t="str">
        <f aca="false">IFERROR(E62/C62,"")</f>
        <v/>
      </c>
    </row>
    <row r="63" customFormat="false" ht="15" hidden="false" customHeight="false" outlineLevel="0" collapsed="false">
      <c r="B63" s="28"/>
      <c r="C63" s="28"/>
      <c r="D63" s="28"/>
      <c r="E63" s="28"/>
      <c r="F63" s="28"/>
      <c r="G63" s="28"/>
      <c r="H63" s="29" t="str">
        <f aca="false">IFERROR(D63/C63,"")</f>
        <v/>
      </c>
      <c r="I63" s="29" t="str">
        <f aca="false">IFERROR(E63/C63,"")</f>
        <v/>
      </c>
    </row>
    <row r="64" customFormat="false" ht="15" hidden="false" customHeight="false" outlineLevel="0" collapsed="false">
      <c r="B64" s="28"/>
      <c r="C64" s="28"/>
      <c r="D64" s="28"/>
      <c r="E64" s="28"/>
      <c r="F64" s="28"/>
      <c r="G64" s="28"/>
      <c r="H64" s="29" t="str">
        <f aca="false">IFERROR(D64/C64,"")</f>
        <v/>
      </c>
      <c r="I64" s="29" t="str">
        <f aca="false">IFERROR(E64/C64,"")</f>
        <v/>
      </c>
    </row>
    <row r="65" customFormat="false" ht="15" hidden="false" customHeight="false" outlineLevel="0" collapsed="false">
      <c r="B65" s="28"/>
      <c r="C65" s="28"/>
      <c r="D65" s="28"/>
      <c r="E65" s="28"/>
      <c r="F65" s="28"/>
      <c r="G65" s="28"/>
      <c r="H65" s="29" t="str">
        <f aca="false">IFERROR(D65/C65,"")</f>
        <v/>
      </c>
      <c r="I65" s="29" t="str">
        <f aca="false">IFERROR(E65/C65,"")</f>
        <v/>
      </c>
    </row>
    <row r="66" customFormat="false" ht="15" hidden="false" customHeight="false" outlineLevel="0" collapsed="false">
      <c r="B66" s="28"/>
      <c r="C66" s="28"/>
      <c r="D66" s="28"/>
      <c r="E66" s="28"/>
      <c r="F66" s="28"/>
      <c r="G66" s="28"/>
      <c r="H66" s="29" t="str">
        <f aca="false">IFERROR(D66/C66,"")</f>
        <v/>
      </c>
      <c r="I66" s="29" t="str">
        <f aca="false">IFERROR(E66/C66,"")</f>
        <v/>
      </c>
    </row>
    <row r="67" customFormat="false" ht="15" hidden="false" customHeight="false" outlineLevel="0" collapsed="false">
      <c r="B67" s="28"/>
      <c r="C67" s="28"/>
      <c r="D67" s="28"/>
      <c r="E67" s="28"/>
      <c r="F67" s="28"/>
      <c r="G67" s="28"/>
      <c r="H67" s="29" t="str">
        <f aca="false">IFERROR(D67/C67,"")</f>
        <v/>
      </c>
      <c r="I67" s="29" t="str">
        <f aca="false">IFERROR(E67/C67,"")</f>
        <v/>
      </c>
    </row>
    <row r="68" customFormat="false" ht="15" hidden="false" customHeight="false" outlineLevel="0" collapsed="false">
      <c r="B68" s="28"/>
      <c r="C68" s="28"/>
      <c r="D68" s="28"/>
      <c r="E68" s="28"/>
      <c r="F68" s="28"/>
      <c r="G68" s="28"/>
      <c r="H68" s="29" t="str">
        <f aca="false">IFERROR(D68/C68,"")</f>
        <v/>
      </c>
      <c r="I68" s="29" t="str">
        <f aca="false">IFERROR(E68/C68,"")</f>
        <v/>
      </c>
    </row>
    <row r="69" customFormat="false" ht="15" hidden="false" customHeight="false" outlineLevel="0" collapsed="false">
      <c r="B69" s="28"/>
      <c r="C69" s="28"/>
      <c r="D69" s="28"/>
      <c r="E69" s="28"/>
      <c r="F69" s="28"/>
      <c r="G69" s="28"/>
      <c r="H69" s="29" t="str">
        <f aca="false">IFERROR(D69/C69,"")</f>
        <v/>
      </c>
      <c r="I69" s="29" t="str">
        <f aca="false">IFERROR(E69/C69,"")</f>
        <v/>
      </c>
    </row>
    <row r="70" customFormat="false" ht="15" hidden="false" customHeight="false" outlineLevel="0" collapsed="false">
      <c r="B70" s="28"/>
      <c r="C70" s="28"/>
      <c r="D70" s="28"/>
      <c r="E70" s="28"/>
      <c r="F70" s="28"/>
      <c r="G70" s="28"/>
      <c r="H70" s="29" t="str">
        <f aca="false">IFERROR(D70/C70,"")</f>
        <v/>
      </c>
      <c r="I70" s="29" t="str">
        <f aca="false">IFERROR(E70/C70,"")</f>
        <v/>
      </c>
    </row>
    <row r="71" customFormat="false" ht="15" hidden="false" customHeight="false" outlineLevel="0" collapsed="false">
      <c r="B71" s="28"/>
      <c r="C71" s="28"/>
      <c r="D71" s="28"/>
      <c r="E71" s="28"/>
      <c r="F71" s="28"/>
      <c r="G71" s="28"/>
      <c r="H71" s="29" t="str">
        <f aca="false">IFERROR(D71/C71,"")</f>
        <v/>
      </c>
      <c r="I71" s="29" t="str">
        <f aca="false">IFERROR(E71/C71,"")</f>
        <v/>
      </c>
    </row>
    <row r="72" customFormat="false" ht="15" hidden="false" customHeight="false" outlineLevel="0" collapsed="false">
      <c r="B72" s="28"/>
      <c r="C72" s="28"/>
      <c r="D72" s="28"/>
      <c r="E72" s="28"/>
      <c r="F72" s="28"/>
      <c r="G72" s="28"/>
      <c r="H72" s="29" t="str">
        <f aca="false">IFERROR(D72/C72,"")</f>
        <v/>
      </c>
      <c r="I72" s="29" t="str">
        <f aca="false">IFERROR(E72/C72,"")</f>
        <v/>
      </c>
    </row>
    <row r="73" customFormat="false" ht="15" hidden="false" customHeight="false" outlineLevel="0" collapsed="false">
      <c r="B73" s="28"/>
      <c r="C73" s="28"/>
      <c r="D73" s="28"/>
      <c r="E73" s="28"/>
      <c r="F73" s="28"/>
      <c r="G73" s="28"/>
      <c r="H73" s="29" t="str">
        <f aca="false">IFERROR(D73/C73,"")</f>
        <v/>
      </c>
      <c r="I73" s="29" t="str">
        <f aca="false">IFERROR(E73/C73,"")</f>
        <v/>
      </c>
    </row>
    <row r="74" customFormat="false" ht="15" hidden="false" customHeight="false" outlineLevel="0" collapsed="false">
      <c r="B74" s="28"/>
      <c r="C74" s="28"/>
      <c r="D74" s="28"/>
      <c r="E74" s="28"/>
      <c r="F74" s="28"/>
      <c r="G74" s="28"/>
      <c r="H74" s="29" t="str">
        <f aca="false">IFERROR(D74/C74,"")</f>
        <v/>
      </c>
      <c r="I74" s="29" t="str">
        <f aca="false">IFERROR(E74/C74,"")</f>
        <v/>
      </c>
    </row>
    <row r="75" customFormat="false" ht="15" hidden="false" customHeight="false" outlineLevel="0" collapsed="false">
      <c r="B75" s="28"/>
      <c r="C75" s="28"/>
      <c r="D75" s="28"/>
      <c r="E75" s="28"/>
      <c r="F75" s="28"/>
      <c r="G75" s="28"/>
      <c r="H75" s="29" t="str">
        <f aca="false">IFERROR(D75/C75,"")</f>
        <v/>
      </c>
      <c r="I75" s="29" t="str">
        <f aca="false">IFERROR(E75/C75,"")</f>
        <v/>
      </c>
    </row>
    <row r="76" customFormat="false" ht="15" hidden="false" customHeight="false" outlineLevel="0" collapsed="false">
      <c r="B76" s="28"/>
      <c r="C76" s="28"/>
      <c r="D76" s="28"/>
      <c r="E76" s="28"/>
      <c r="F76" s="28"/>
      <c r="G76" s="28"/>
      <c r="H76" s="29" t="str">
        <f aca="false">IFERROR(D76/C76,"")</f>
        <v/>
      </c>
      <c r="I76" s="29" t="str">
        <f aca="false">IFERROR(E76/C76,"")</f>
        <v/>
      </c>
    </row>
    <row r="77" customFormat="false" ht="15" hidden="false" customHeight="false" outlineLevel="0" collapsed="false">
      <c r="B77" s="28"/>
      <c r="C77" s="28"/>
      <c r="D77" s="28"/>
      <c r="E77" s="28"/>
      <c r="F77" s="28"/>
      <c r="G77" s="28"/>
      <c r="H77" s="29" t="str">
        <f aca="false">IFERROR(D77/C77,"")</f>
        <v/>
      </c>
      <c r="I77" s="29" t="str">
        <f aca="false">IFERROR(E77/C77,"")</f>
        <v/>
      </c>
    </row>
    <row r="78" customFormat="false" ht="15" hidden="false" customHeight="false" outlineLevel="0" collapsed="false">
      <c r="B78" s="28"/>
      <c r="C78" s="28"/>
      <c r="D78" s="28"/>
      <c r="E78" s="28"/>
      <c r="F78" s="28"/>
      <c r="G78" s="28"/>
      <c r="H78" s="29" t="str">
        <f aca="false">IFERROR(D78/C78,"")</f>
        <v/>
      </c>
      <c r="I78" s="29" t="str">
        <f aca="false">IFERROR(E78/C78,"")</f>
        <v/>
      </c>
    </row>
    <row r="79" customFormat="false" ht="15" hidden="false" customHeight="false" outlineLevel="0" collapsed="false">
      <c r="B79" s="28"/>
      <c r="C79" s="28"/>
      <c r="D79" s="28"/>
      <c r="E79" s="28"/>
      <c r="F79" s="28"/>
      <c r="G79" s="28"/>
      <c r="H79" s="29" t="str">
        <f aca="false">IFERROR(D79/C79,"")</f>
        <v/>
      </c>
      <c r="I79" s="29" t="str">
        <f aca="false">IFERROR(E79/C79,"")</f>
        <v/>
      </c>
    </row>
    <row r="80" customFormat="false" ht="15" hidden="false" customHeight="false" outlineLevel="0" collapsed="false">
      <c r="B80" s="28"/>
      <c r="C80" s="28"/>
      <c r="D80" s="28"/>
      <c r="E80" s="28"/>
      <c r="F80" s="28"/>
      <c r="G80" s="28"/>
      <c r="H80" s="29" t="str">
        <f aca="false">IFERROR(D80/C80,"")</f>
        <v/>
      </c>
      <c r="I80" s="29" t="str">
        <f aca="false">IFERROR(E80/C80,"")</f>
        <v/>
      </c>
    </row>
    <row r="81" customFormat="false" ht="15" hidden="false" customHeight="false" outlineLevel="0" collapsed="false">
      <c r="B81" s="28"/>
      <c r="C81" s="28"/>
      <c r="D81" s="28"/>
      <c r="E81" s="28"/>
      <c r="F81" s="28"/>
      <c r="G81" s="28"/>
      <c r="H81" s="29" t="str">
        <f aca="false">IFERROR(D81/C81,"")</f>
        <v/>
      </c>
      <c r="I81" s="29" t="str">
        <f aca="false">IFERROR(E81/C81,"")</f>
        <v/>
      </c>
    </row>
    <row r="82" customFormat="false" ht="15" hidden="false" customHeight="false" outlineLevel="0" collapsed="false">
      <c r="B82" s="28"/>
      <c r="C82" s="28"/>
      <c r="D82" s="28"/>
      <c r="E82" s="28"/>
      <c r="F82" s="28"/>
      <c r="G82" s="28"/>
      <c r="H82" s="29" t="str">
        <f aca="false">IFERROR(D82/C82,"")</f>
        <v/>
      </c>
      <c r="I82" s="29" t="str">
        <f aca="false">IFERROR(E82/C82,"")</f>
        <v/>
      </c>
    </row>
    <row r="83" customFormat="false" ht="15" hidden="false" customHeight="false" outlineLevel="0" collapsed="false">
      <c r="B83" s="28"/>
      <c r="C83" s="28"/>
      <c r="D83" s="28"/>
      <c r="E83" s="28"/>
      <c r="F83" s="28"/>
      <c r="G83" s="28"/>
      <c r="H83" s="29" t="str">
        <f aca="false">IFERROR(D83/C83,"")</f>
        <v/>
      </c>
      <c r="I83" s="29" t="str">
        <f aca="false">IFERROR(E83/C83,"")</f>
        <v/>
      </c>
    </row>
    <row r="84" customFormat="false" ht="15" hidden="false" customHeight="false" outlineLevel="0" collapsed="false">
      <c r="B84" s="28"/>
      <c r="C84" s="28"/>
      <c r="D84" s="28"/>
      <c r="E84" s="28"/>
      <c r="F84" s="28"/>
      <c r="G84" s="28"/>
      <c r="H84" s="29" t="str">
        <f aca="false">IFERROR(D84/C84,"")</f>
        <v/>
      </c>
      <c r="I84" s="29" t="str">
        <f aca="false">IFERROR(E84/C84,"")</f>
        <v/>
      </c>
    </row>
    <row r="85" customFormat="false" ht="15" hidden="false" customHeight="false" outlineLevel="0" collapsed="false">
      <c r="B85" s="28"/>
      <c r="C85" s="28"/>
      <c r="D85" s="28"/>
      <c r="E85" s="28"/>
      <c r="F85" s="28"/>
      <c r="G85" s="28"/>
      <c r="H85" s="29" t="str">
        <f aca="false">IFERROR(D85/C85,"")</f>
        <v/>
      </c>
      <c r="I85" s="29" t="str">
        <f aca="false">IFERROR(E85/C85,"")</f>
        <v/>
      </c>
    </row>
    <row r="86" customFormat="false" ht="15" hidden="false" customHeight="false" outlineLevel="0" collapsed="false">
      <c r="B86" s="28"/>
      <c r="C86" s="28"/>
      <c r="D86" s="28"/>
      <c r="E86" s="28"/>
      <c r="F86" s="28"/>
      <c r="G86" s="28"/>
      <c r="H86" s="29" t="str">
        <f aca="false">IFERROR(D86/C86,"")</f>
        <v/>
      </c>
      <c r="I86" s="29" t="str">
        <f aca="false">IFERROR(E86/C86,"")</f>
        <v/>
      </c>
    </row>
    <row r="87" customFormat="false" ht="15" hidden="false" customHeight="false" outlineLevel="0" collapsed="false">
      <c r="B87" s="28"/>
      <c r="C87" s="28"/>
      <c r="D87" s="28"/>
      <c r="E87" s="28"/>
      <c r="F87" s="28"/>
      <c r="G87" s="28"/>
      <c r="H87" s="29" t="str">
        <f aca="false">IFERROR(D87/C87,"")</f>
        <v/>
      </c>
      <c r="I87" s="29" t="str">
        <f aca="false">IFERROR(E87/C87,"")</f>
        <v/>
      </c>
    </row>
    <row r="88" customFormat="false" ht="15" hidden="false" customHeight="false" outlineLevel="0" collapsed="false">
      <c r="B88" s="28"/>
      <c r="C88" s="28"/>
      <c r="D88" s="28"/>
      <c r="E88" s="28"/>
      <c r="F88" s="28"/>
      <c r="G88" s="28"/>
      <c r="H88" s="29" t="str">
        <f aca="false">IFERROR(D88/C88,"")</f>
        <v/>
      </c>
      <c r="I88" s="29" t="str">
        <f aca="false">IFERROR(E88/C88,"")</f>
        <v/>
      </c>
    </row>
    <row r="89" customFormat="false" ht="15" hidden="false" customHeight="false" outlineLevel="0" collapsed="false">
      <c r="B89" s="28"/>
      <c r="C89" s="28"/>
      <c r="D89" s="28"/>
      <c r="E89" s="28"/>
      <c r="F89" s="28"/>
      <c r="G89" s="28"/>
      <c r="H89" s="29" t="str">
        <f aca="false">IFERROR(D89/C89,"")</f>
        <v/>
      </c>
      <c r="I89" s="29" t="str">
        <f aca="false">IFERROR(E89/C89,"")</f>
        <v/>
      </c>
    </row>
    <row r="90" customFormat="false" ht="15" hidden="false" customHeight="false" outlineLevel="0" collapsed="false">
      <c r="B90" s="28"/>
      <c r="C90" s="28"/>
      <c r="D90" s="28"/>
      <c r="E90" s="28"/>
      <c r="F90" s="28"/>
      <c r="G90" s="28"/>
      <c r="H90" s="29" t="str">
        <f aca="false">IFERROR(D90/C90,"")</f>
        <v/>
      </c>
      <c r="I90" s="29" t="str">
        <f aca="false">IFERROR(E90/C90,"")</f>
        <v/>
      </c>
    </row>
    <row r="91" customFormat="false" ht="15" hidden="false" customHeight="false" outlineLevel="0" collapsed="false">
      <c r="B91" s="28"/>
      <c r="C91" s="28"/>
      <c r="D91" s="28"/>
      <c r="E91" s="28"/>
      <c r="F91" s="28"/>
      <c r="G91" s="28"/>
      <c r="H91" s="29" t="str">
        <f aca="false">IFERROR(D91/C91,"")</f>
        <v/>
      </c>
      <c r="I91" s="29" t="str">
        <f aca="false">IFERROR(E91/C91,"")</f>
        <v/>
      </c>
    </row>
    <row r="92" customFormat="false" ht="15" hidden="false" customHeight="false" outlineLevel="0" collapsed="false">
      <c r="B92" s="28"/>
      <c r="C92" s="28"/>
      <c r="D92" s="28"/>
      <c r="E92" s="28"/>
      <c r="F92" s="28"/>
      <c r="G92" s="28"/>
      <c r="H92" s="29" t="str">
        <f aca="false">IFERROR(D92/C92,"")</f>
        <v/>
      </c>
      <c r="I92" s="29" t="str">
        <f aca="false">IFERROR(E92/C92,"")</f>
        <v/>
      </c>
    </row>
    <row r="93" customFormat="false" ht="15" hidden="false" customHeight="false" outlineLevel="0" collapsed="false">
      <c r="B93" s="28"/>
      <c r="C93" s="28"/>
      <c r="D93" s="28"/>
      <c r="E93" s="28"/>
      <c r="F93" s="28"/>
      <c r="G93" s="28"/>
      <c r="H93" s="29" t="str">
        <f aca="false">IFERROR(D93/C93,"")</f>
        <v/>
      </c>
      <c r="I93" s="29" t="str">
        <f aca="false">IFERROR(E93/C93,"")</f>
        <v/>
      </c>
    </row>
    <row r="94" customFormat="false" ht="15" hidden="false" customHeight="false" outlineLevel="0" collapsed="false">
      <c r="B94" s="28"/>
      <c r="C94" s="28"/>
      <c r="D94" s="28"/>
      <c r="E94" s="28"/>
      <c r="F94" s="28"/>
      <c r="G94" s="28"/>
      <c r="H94" s="29" t="str">
        <f aca="false">IFERROR(D94/C94,"")</f>
        <v/>
      </c>
      <c r="I94" s="29" t="str">
        <f aca="false">IFERROR(E94/C94,"")</f>
        <v/>
      </c>
    </row>
    <row r="95" customFormat="false" ht="15" hidden="false" customHeight="false" outlineLevel="0" collapsed="false">
      <c r="B95" s="28"/>
      <c r="C95" s="28"/>
      <c r="D95" s="28"/>
      <c r="E95" s="28"/>
      <c r="F95" s="28"/>
      <c r="G95" s="28"/>
      <c r="H95" s="29" t="str">
        <f aca="false">IFERROR(D95/C95,"")</f>
        <v/>
      </c>
      <c r="I95" s="29" t="str">
        <f aca="false">IFERROR(E95/C95,"")</f>
        <v/>
      </c>
    </row>
    <row r="96" customFormat="false" ht="15" hidden="false" customHeight="false" outlineLevel="0" collapsed="false">
      <c r="B96" s="28"/>
      <c r="C96" s="28"/>
      <c r="D96" s="28"/>
      <c r="E96" s="28"/>
      <c r="F96" s="28"/>
      <c r="G96" s="28"/>
      <c r="H96" s="29" t="str">
        <f aca="false">IFERROR(D96/C96,"")</f>
        <v/>
      </c>
      <c r="I96" s="29" t="str">
        <f aca="false">IFERROR(E96/C96,"")</f>
        <v/>
      </c>
    </row>
    <row r="97" customFormat="false" ht="15" hidden="false" customHeight="false" outlineLevel="0" collapsed="false">
      <c r="B97" s="28"/>
      <c r="C97" s="28"/>
      <c r="D97" s="28"/>
      <c r="E97" s="28"/>
      <c r="F97" s="28"/>
      <c r="G97" s="28"/>
      <c r="H97" s="29" t="str">
        <f aca="false">IFERROR(D97/C97,"")</f>
        <v/>
      </c>
      <c r="I97" s="29" t="str">
        <f aca="false">IFERROR(E97/C97,"")</f>
        <v/>
      </c>
    </row>
    <row r="98" customFormat="false" ht="15" hidden="false" customHeight="false" outlineLevel="0" collapsed="false">
      <c r="B98" s="28"/>
      <c r="C98" s="28"/>
      <c r="D98" s="28"/>
      <c r="E98" s="28"/>
      <c r="F98" s="28"/>
      <c r="G98" s="28"/>
      <c r="H98" s="29" t="str">
        <f aca="false">IFERROR(D98/C98,"")</f>
        <v/>
      </c>
      <c r="I98" s="29" t="str">
        <f aca="false">IFERROR(E98/C98,"")</f>
        <v/>
      </c>
    </row>
    <row r="99" customFormat="false" ht="15" hidden="false" customHeight="false" outlineLevel="0" collapsed="false">
      <c r="B99" s="28"/>
      <c r="C99" s="28"/>
      <c r="D99" s="28"/>
      <c r="E99" s="28"/>
      <c r="F99" s="28"/>
      <c r="G99" s="28"/>
      <c r="H99" s="29" t="str">
        <f aca="false">IFERROR(D99/C99,"")</f>
        <v/>
      </c>
      <c r="I99" s="29" t="str">
        <f aca="false">IFERROR(E99/C99,"")</f>
        <v/>
      </c>
    </row>
    <row r="100" customFormat="false" ht="15" hidden="false" customHeight="false" outlineLevel="0" collapsed="false">
      <c r="B100" s="28"/>
      <c r="C100" s="28"/>
      <c r="D100" s="28"/>
      <c r="E100" s="28"/>
      <c r="F100" s="28"/>
      <c r="G100" s="28"/>
      <c r="H100" s="29" t="str">
        <f aca="false">IFERROR(D100/C100,"")</f>
        <v/>
      </c>
      <c r="I100" s="29" t="str">
        <f aca="false">IFERROR(E100/C100,"")</f>
        <v/>
      </c>
    </row>
    <row r="101" customFormat="false" ht="15" hidden="false" customHeight="false" outlineLevel="0" collapsed="false">
      <c r="B101" s="28"/>
      <c r="C101" s="28"/>
      <c r="D101" s="28"/>
      <c r="E101" s="28"/>
      <c r="F101" s="28"/>
      <c r="G101" s="28"/>
      <c r="H101" s="29" t="str">
        <f aca="false">IFERROR(D101/C101,"")</f>
        <v/>
      </c>
      <c r="I101" s="29" t="str">
        <f aca="false">IFERROR(E101/C101,"")</f>
        <v/>
      </c>
    </row>
    <row r="102" customFormat="false" ht="15" hidden="false" customHeight="false" outlineLevel="0" collapsed="false">
      <c r="B102" s="28"/>
      <c r="C102" s="28"/>
      <c r="D102" s="28"/>
      <c r="E102" s="28"/>
      <c r="F102" s="28"/>
      <c r="G102" s="28"/>
      <c r="H102" s="29" t="str">
        <f aca="false">IFERROR(D102/C102,"")</f>
        <v/>
      </c>
      <c r="I102" s="29" t="str">
        <f aca="false">IFERROR(E102/C102,"")</f>
        <v/>
      </c>
    </row>
    <row r="103" customFormat="false" ht="15" hidden="false" customHeight="false" outlineLevel="0" collapsed="false">
      <c r="B103" s="28"/>
      <c r="C103" s="28"/>
      <c r="D103" s="28"/>
      <c r="E103" s="28"/>
      <c r="F103" s="28"/>
      <c r="G103" s="28"/>
      <c r="H103" s="29" t="str">
        <f aca="false">IFERROR(D103/C103,"")</f>
        <v/>
      </c>
      <c r="I103" s="29" t="str">
        <f aca="false">IFERROR(E103/C103,"")</f>
        <v/>
      </c>
    </row>
    <row r="104" customFormat="false" ht="15" hidden="false" customHeight="false" outlineLevel="0" collapsed="false">
      <c r="B104" s="28"/>
      <c r="C104" s="28"/>
      <c r="D104" s="28"/>
      <c r="E104" s="28"/>
      <c r="F104" s="28"/>
      <c r="G104" s="28"/>
      <c r="H104" s="29" t="str">
        <f aca="false">IFERROR(D104/C104,"")</f>
        <v/>
      </c>
      <c r="I104" s="29" t="str">
        <f aca="false">IFERROR(E104/C104,"")</f>
        <v/>
      </c>
    </row>
    <row r="105" customFormat="false" ht="15" hidden="false" customHeight="false" outlineLevel="0" collapsed="false">
      <c r="B105" s="28"/>
      <c r="C105" s="28"/>
      <c r="D105" s="28"/>
      <c r="E105" s="28"/>
      <c r="F105" s="28"/>
      <c r="G105" s="28"/>
      <c r="H105" s="29" t="str">
        <f aca="false">IFERROR(D105/C105,"")</f>
        <v/>
      </c>
      <c r="I105" s="29" t="str">
        <f aca="false">IFERROR(E105/C105,"")</f>
        <v/>
      </c>
    </row>
    <row r="106" customFormat="false" ht="15" hidden="false" customHeight="false" outlineLevel="0" collapsed="false">
      <c r="B106" s="28"/>
      <c r="C106" s="28"/>
      <c r="D106" s="28"/>
      <c r="E106" s="28"/>
      <c r="F106" s="28"/>
      <c r="G106" s="28"/>
      <c r="H106" s="29" t="str">
        <f aca="false">IFERROR(D106/C106,"")</f>
        <v/>
      </c>
      <c r="I106" s="29" t="str">
        <f aca="false">IFERROR(E106/C106,"")</f>
        <v/>
      </c>
    </row>
    <row r="107" customFormat="false" ht="15" hidden="false" customHeight="false" outlineLevel="0" collapsed="false">
      <c r="B107" s="28"/>
      <c r="C107" s="28"/>
      <c r="D107" s="28"/>
      <c r="E107" s="28"/>
      <c r="F107" s="28"/>
      <c r="G107" s="28"/>
      <c r="H107" s="29" t="str">
        <f aca="false">IFERROR(D107/C107,"")</f>
        <v/>
      </c>
      <c r="I107" s="29" t="str">
        <f aca="false">IFERROR(E107/C107,"")</f>
        <v/>
      </c>
    </row>
    <row r="108" customFormat="false" ht="15" hidden="false" customHeight="false" outlineLevel="0" collapsed="false">
      <c r="B108" s="28"/>
      <c r="C108" s="28"/>
      <c r="D108" s="28"/>
      <c r="E108" s="28"/>
      <c r="F108" s="28"/>
      <c r="G108" s="28"/>
      <c r="H108" s="29" t="str">
        <f aca="false">IFERROR(D108/C108,"")</f>
        <v/>
      </c>
      <c r="I108" s="29" t="str">
        <f aca="false">IFERROR(E108/C108,"")</f>
        <v/>
      </c>
    </row>
    <row r="109" customFormat="false" ht="15" hidden="false" customHeight="false" outlineLevel="0" collapsed="false">
      <c r="B109" s="28"/>
      <c r="C109" s="28"/>
      <c r="D109" s="28"/>
      <c r="E109" s="28"/>
      <c r="F109" s="28"/>
      <c r="G109" s="28"/>
      <c r="H109" s="29" t="str">
        <f aca="false">IFERROR(D109/C109,"")</f>
        <v/>
      </c>
      <c r="I109" s="29" t="str">
        <f aca="false">IFERROR(E109/C109,"")</f>
        <v/>
      </c>
    </row>
    <row r="110" customFormat="false" ht="15" hidden="false" customHeight="false" outlineLevel="0" collapsed="false">
      <c r="B110" s="28"/>
      <c r="C110" s="28"/>
      <c r="D110" s="28"/>
      <c r="E110" s="28"/>
      <c r="F110" s="28"/>
      <c r="G110" s="28"/>
      <c r="H110" s="29" t="str">
        <f aca="false">IFERROR(D110/C110,"")</f>
        <v/>
      </c>
      <c r="I110" s="29" t="str">
        <f aca="false">IFERROR(E110/C110,"")</f>
        <v/>
      </c>
    </row>
    <row r="111" customFormat="false" ht="15" hidden="false" customHeight="false" outlineLevel="0" collapsed="false">
      <c r="B111" s="28"/>
      <c r="C111" s="28"/>
      <c r="D111" s="28"/>
      <c r="E111" s="28"/>
      <c r="F111" s="28"/>
      <c r="G111" s="28"/>
      <c r="H111" s="29" t="str">
        <f aca="false">IFERROR(D111/C111,"")</f>
        <v/>
      </c>
      <c r="I111" s="29" t="str">
        <f aca="false">IFERROR(E111/C111,"")</f>
        <v/>
      </c>
    </row>
    <row r="112" customFormat="false" ht="15" hidden="false" customHeight="false" outlineLevel="0" collapsed="false">
      <c r="B112" s="28"/>
      <c r="C112" s="28"/>
      <c r="D112" s="28"/>
      <c r="E112" s="28"/>
      <c r="F112" s="28"/>
      <c r="G112" s="28"/>
      <c r="H112" s="29" t="str">
        <f aca="false">IFERROR(D112/C112,"")</f>
        <v/>
      </c>
      <c r="I112" s="29" t="str">
        <f aca="false">IFERROR(E112/C112,"")</f>
        <v/>
      </c>
    </row>
    <row r="113" customFormat="false" ht="15" hidden="false" customHeight="false" outlineLevel="0" collapsed="false">
      <c r="B113" s="28"/>
      <c r="C113" s="28"/>
      <c r="D113" s="28"/>
      <c r="E113" s="28"/>
      <c r="F113" s="28"/>
      <c r="G113" s="28"/>
      <c r="H113" s="29" t="str">
        <f aca="false">IFERROR(D113/C113,"")</f>
        <v/>
      </c>
      <c r="I113" s="29" t="str">
        <f aca="false">IFERROR(E113/C113,"")</f>
        <v/>
      </c>
    </row>
    <row r="114" customFormat="false" ht="15" hidden="false" customHeight="false" outlineLevel="0" collapsed="false">
      <c r="B114" s="28"/>
      <c r="C114" s="28"/>
      <c r="D114" s="28"/>
      <c r="E114" s="28"/>
      <c r="F114" s="28"/>
      <c r="G114" s="28"/>
      <c r="H114" s="29" t="str">
        <f aca="false">IFERROR(D114/C114,"")</f>
        <v/>
      </c>
      <c r="I114" s="29" t="str">
        <f aca="false">IFERROR(E114/C114,"")</f>
        <v/>
      </c>
    </row>
    <row r="115" customFormat="false" ht="15" hidden="false" customHeight="false" outlineLevel="0" collapsed="false">
      <c r="B115" s="28"/>
      <c r="C115" s="28"/>
      <c r="D115" s="28"/>
      <c r="E115" s="28"/>
      <c r="F115" s="28"/>
      <c r="G115" s="28"/>
      <c r="H115" s="29" t="str">
        <f aca="false">IFERROR(D115/C115,"")</f>
        <v/>
      </c>
      <c r="I115" s="29" t="str">
        <f aca="false">IFERROR(E115/C115,"")</f>
        <v/>
      </c>
    </row>
    <row r="116" customFormat="false" ht="15" hidden="false" customHeight="false" outlineLevel="0" collapsed="false">
      <c r="B116" s="28"/>
      <c r="C116" s="28"/>
      <c r="D116" s="28"/>
      <c r="E116" s="28"/>
      <c r="F116" s="28"/>
      <c r="G116" s="28"/>
      <c r="H116" s="29" t="str">
        <f aca="false">IFERROR(D116/C116,"")</f>
        <v/>
      </c>
      <c r="I116" s="29" t="str">
        <f aca="false">IFERROR(E116/C116,"")</f>
        <v/>
      </c>
    </row>
    <row r="117" customFormat="false" ht="15" hidden="false" customHeight="false" outlineLevel="0" collapsed="false">
      <c r="B117" s="28"/>
      <c r="C117" s="28"/>
      <c r="D117" s="28"/>
      <c r="E117" s="28"/>
      <c r="F117" s="28"/>
      <c r="G117" s="28"/>
      <c r="H117" s="29" t="str">
        <f aca="false">IFERROR(D117/C117,"")</f>
        <v/>
      </c>
      <c r="I117" s="29" t="str">
        <f aca="false">IFERROR(E117/C117,"")</f>
        <v/>
      </c>
    </row>
    <row r="118" customFormat="false" ht="15" hidden="false" customHeight="false" outlineLevel="0" collapsed="false">
      <c r="B118" s="28"/>
      <c r="C118" s="28"/>
      <c r="D118" s="28"/>
      <c r="E118" s="28"/>
      <c r="F118" s="28"/>
      <c r="G118" s="28"/>
      <c r="H118" s="29" t="str">
        <f aca="false">IFERROR(D118/C118,"")</f>
        <v/>
      </c>
      <c r="I118" s="29" t="str">
        <f aca="false">IFERROR(E118/C118,"")</f>
        <v/>
      </c>
    </row>
    <row r="119" customFormat="false" ht="15" hidden="false" customHeight="false" outlineLevel="0" collapsed="false">
      <c r="B119" s="28"/>
      <c r="C119" s="28"/>
      <c r="D119" s="28"/>
      <c r="E119" s="28"/>
      <c r="F119" s="28"/>
      <c r="G119" s="28"/>
      <c r="H119" s="29" t="str">
        <f aca="false">IFERROR(D119/C119,"")</f>
        <v/>
      </c>
      <c r="I119" s="29" t="str">
        <f aca="false">IFERROR(E119/C119,"")</f>
        <v/>
      </c>
    </row>
    <row r="120" customFormat="false" ht="15" hidden="false" customHeight="false" outlineLevel="0" collapsed="false">
      <c r="B120" s="28"/>
      <c r="C120" s="28"/>
      <c r="D120" s="28"/>
      <c r="E120" s="28"/>
      <c r="F120" s="28"/>
      <c r="G120" s="28"/>
      <c r="H120" s="29" t="str">
        <f aca="false">IFERROR(D120/C120,"")</f>
        <v/>
      </c>
      <c r="I120" s="29" t="str">
        <f aca="false">IFERROR(E120/C120,"")</f>
        <v/>
      </c>
    </row>
    <row r="121" customFormat="false" ht="15" hidden="false" customHeight="false" outlineLevel="0" collapsed="false">
      <c r="B121" s="28"/>
      <c r="C121" s="28"/>
      <c r="D121" s="28"/>
      <c r="E121" s="28"/>
      <c r="F121" s="28"/>
      <c r="G121" s="28"/>
      <c r="H121" s="29" t="str">
        <f aca="false">IFERROR(D121/C121,"")</f>
        <v/>
      </c>
      <c r="I121" s="29" t="str">
        <f aca="false">IFERROR(E121/C121,"")</f>
        <v/>
      </c>
    </row>
    <row r="122" customFormat="false" ht="15" hidden="false" customHeight="false" outlineLevel="0" collapsed="false">
      <c r="B122" s="28"/>
      <c r="C122" s="28"/>
      <c r="D122" s="28"/>
      <c r="E122" s="28"/>
      <c r="F122" s="28"/>
      <c r="G122" s="28"/>
      <c r="H122" s="29" t="str">
        <f aca="false">IFERROR(D122/C122,"")</f>
        <v/>
      </c>
      <c r="I122" s="29" t="str">
        <f aca="false">IFERROR(E122/C122,"")</f>
        <v/>
      </c>
    </row>
    <row r="123" customFormat="false" ht="15" hidden="false" customHeight="false" outlineLevel="0" collapsed="false">
      <c r="B123" s="28"/>
      <c r="C123" s="28"/>
      <c r="D123" s="28"/>
      <c r="E123" s="28"/>
      <c r="F123" s="28"/>
      <c r="G123" s="28"/>
      <c r="H123" s="29" t="str">
        <f aca="false">IFERROR(D123/C123,"")</f>
        <v/>
      </c>
      <c r="I123" s="29" t="str">
        <f aca="false">IFERROR(E123/C123,"")</f>
        <v/>
      </c>
    </row>
    <row r="124" customFormat="false" ht="15" hidden="false" customHeight="false" outlineLevel="0" collapsed="false">
      <c r="B124" s="28"/>
      <c r="C124" s="28"/>
      <c r="D124" s="28"/>
      <c r="E124" s="28"/>
      <c r="F124" s="28"/>
      <c r="G124" s="28"/>
      <c r="H124" s="29" t="str">
        <f aca="false">IFERROR(D124/C124,"")</f>
        <v/>
      </c>
      <c r="I124" s="29" t="str">
        <f aca="false">IFERROR(E124/C124,"")</f>
        <v/>
      </c>
    </row>
    <row r="125" customFormat="false" ht="15" hidden="false" customHeight="false" outlineLevel="0" collapsed="false">
      <c r="B125" s="28"/>
      <c r="C125" s="28"/>
      <c r="D125" s="28"/>
      <c r="E125" s="28"/>
      <c r="F125" s="28"/>
      <c r="G125" s="28"/>
      <c r="H125" s="29" t="str">
        <f aca="false">IFERROR(D125/C125,"")</f>
        <v/>
      </c>
      <c r="I125" s="29" t="str">
        <f aca="false">IFERROR(E125/C125,"")</f>
        <v/>
      </c>
    </row>
    <row r="126" customFormat="false" ht="15" hidden="false" customHeight="false" outlineLevel="0" collapsed="false">
      <c r="B126" s="28"/>
      <c r="C126" s="28"/>
      <c r="D126" s="28"/>
      <c r="E126" s="28"/>
      <c r="F126" s="28"/>
      <c r="G126" s="28"/>
      <c r="H126" s="29" t="str">
        <f aca="false">IFERROR(D126/C126,"")</f>
        <v/>
      </c>
      <c r="I126" s="29" t="str">
        <f aca="false">IFERROR(E126/C126,"")</f>
        <v/>
      </c>
    </row>
    <row r="127" customFormat="false" ht="15" hidden="false" customHeight="false" outlineLevel="0" collapsed="false">
      <c r="B127" s="28"/>
      <c r="C127" s="28"/>
      <c r="D127" s="28"/>
      <c r="E127" s="28"/>
      <c r="F127" s="28"/>
      <c r="G127" s="28"/>
      <c r="H127" s="29" t="str">
        <f aca="false">IFERROR(D127/C127,"")</f>
        <v/>
      </c>
      <c r="I127" s="29" t="str">
        <f aca="false">IFERROR(E127/C127,"")</f>
        <v/>
      </c>
    </row>
    <row r="128" customFormat="false" ht="15" hidden="false" customHeight="false" outlineLevel="0" collapsed="false">
      <c r="B128" s="28"/>
      <c r="C128" s="28"/>
      <c r="D128" s="28"/>
      <c r="E128" s="28"/>
      <c r="F128" s="28"/>
      <c r="G128" s="28"/>
      <c r="H128" s="29" t="str">
        <f aca="false">IFERROR(D128/C128,"")</f>
        <v/>
      </c>
      <c r="I128" s="29" t="str">
        <f aca="false">IFERROR(E128/C128,"")</f>
        <v/>
      </c>
    </row>
    <row r="129" customFormat="false" ht="15" hidden="false" customHeight="false" outlineLevel="0" collapsed="false">
      <c r="B129" s="28"/>
      <c r="C129" s="28"/>
      <c r="D129" s="28"/>
      <c r="E129" s="28"/>
      <c r="F129" s="28"/>
      <c r="G129" s="28"/>
      <c r="H129" s="29" t="str">
        <f aca="false">IFERROR(D129/C129,"")</f>
        <v/>
      </c>
      <c r="I129" s="29" t="str">
        <f aca="false">IFERROR(E129/C129,"")</f>
        <v/>
      </c>
    </row>
    <row r="130" customFormat="false" ht="15" hidden="false" customHeight="false" outlineLevel="0" collapsed="false">
      <c r="B130" s="28"/>
      <c r="C130" s="28"/>
      <c r="D130" s="28"/>
      <c r="E130" s="28"/>
      <c r="F130" s="28"/>
      <c r="G130" s="28"/>
      <c r="H130" s="29" t="str">
        <f aca="false">IFERROR(D130/C130,"")</f>
        <v/>
      </c>
      <c r="I130" s="29" t="str">
        <f aca="false">IFERROR(E130/C130,"")</f>
        <v/>
      </c>
    </row>
    <row r="131" customFormat="false" ht="15" hidden="false" customHeight="false" outlineLevel="0" collapsed="false">
      <c r="B131" s="28"/>
      <c r="C131" s="28"/>
      <c r="D131" s="28"/>
      <c r="E131" s="28"/>
      <c r="F131" s="28"/>
      <c r="G131" s="28"/>
      <c r="H131" s="29" t="str">
        <f aca="false">IFERROR(D131/C131,"")</f>
        <v/>
      </c>
      <c r="I131" s="29" t="str">
        <f aca="false">IFERROR(E131/C131,"")</f>
        <v/>
      </c>
    </row>
    <row r="132" customFormat="false" ht="15" hidden="false" customHeight="false" outlineLevel="0" collapsed="false">
      <c r="B132" s="28"/>
      <c r="C132" s="28"/>
      <c r="D132" s="28"/>
      <c r="E132" s="28"/>
      <c r="F132" s="28"/>
      <c r="G132" s="28"/>
      <c r="H132" s="29" t="str">
        <f aca="false">IFERROR(D132/C132,"")</f>
        <v/>
      </c>
      <c r="I132" s="29" t="str">
        <f aca="false">IFERROR(E132/C132,"")</f>
        <v/>
      </c>
    </row>
    <row r="133" customFormat="false" ht="15" hidden="false" customHeight="false" outlineLevel="0" collapsed="false">
      <c r="B133" s="28"/>
      <c r="C133" s="28"/>
      <c r="D133" s="28"/>
      <c r="E133" s="28"/>
      <c r="F133" s="28"/>
      <c r="G133" s="28"/>
      <c r="H133" s="29" t="str">
        <f aca="false">IFERROR(D133/C133,"")</f>
        <v/>
      </c>
      <c r="I133" s="29" t="str">
        <f aca="false">IFERROR(E133/C133,"")</f>
        <v/>
      </c>
    </row>
    <row r="134" customFormat="false" ht="15" hidden="false" customHeight="false" outlineLevel="0" collapsed="false">
      <c r="B134" s="28"/>
      <c r="C134" s="28"/>
      <c r="D134" s="28"/>
      <c r="E134" s="28"/>
      <c r="F134" s="28"/>
      <c r="G134" s="28"/>
      <c r="H134" s="29" t="str">
        <f aca="false">IFERROR(D134/C134,"")</f>
        <v/>
      </c>
      <c r="I134" s="29" t="str">
        <f aca="false">IFERROR(E134/C134,"")</f>
        <v/>
      </c>
    </row>
    <row r="135" customFormat="false" ht="15" hidden="false" customHeight="false" outlineLevel="0" collapsed="false">
      <c r="B135" s="28"/>
      <c r="C135" s="28"/>
      <c r="D135" s="28"/>
      <c r="E135" s="28"/>
      <c r="F135" s="28"/>
      <c r="G135" s="28"/>
      <c r="H135" s="29" t="str">
        <f aca="false">IFERROR(D135/C135,"")</f>
        <v/>
      </c>
      <c r="I135" s="29" t="str">
        <f aca="false">IFERROR(E135/C135,"")</f>
        <v/>
      </c>
    </row>
    <row r="136" customFormat="false" ht="15" hidden="false" customHeight="false" outlineLevel="0" collapsed="false">
      <c r="B136" s="28"/>
      <c r="C136" s="28"/>
      <c r="D136" s="28"/>
      <c r="E136" s="28"/>
      <c r="F136" s="28"/>
      <c r="G136" s="28"/>
      <c r="H136" s="29" t="str">
        <f aca="false">IFERROR(D136/C136,"")</f>
        <v/>
      </c>
      <c r="I136" s="29" t="str">
        <f aca="false">IFERROR(E136/C136,"")</f>
        <v/>
      </c>
    </row>
    <row r="137" customFormat="false" ht="15" hidden="false" customHeight="false" outlineLevel="0" collapsed="false">
      <c r="B137" s="28"/>
      <c r="C137" s="28"/>
      <c r="D137" s="28"/>
      <c r="E137" s="28"/>
      <c r="F137" s="28"/>
      <c r="G137" s="28"/>
      <c r="H137" s="29" t="str">
        <f aca="false">IFERROR(D137/C137,"")</f>
        <v/>
      </c>
      <c r="I137" s="29" t="str">
        <f aca="false">IFERROR(E137/C137,"")</f>
        <v/>
      </c>
    </row>
    <row r="138" customFormat="false" ht="15" hidden="false" customHeight="false" outlineLevel="0" collapsed="false">
      <c r="B138" s="28"/>
      <c r="C138" s="28"/>
      <c r="D138" s="28"/>
      <c r="E138" s="28"/>
      <c r="F138" s="28"/>
      <c r="G138" s="28"/>
      <c r="H138" s="29" t="str">
        <f aca="false">IFERROR(D138/C138,"")</f>
        <v/>
      </c>
      <c r="I138" s="29" t="str">
        <f aca="false">IFERROR(E138/C138,"")</f>
        <v/>
      </c>
    </row>
    <row r="139" customFormat="false" ht="15" hidden="false" customHeight="false" outlineLevel="0" collapsed="false">
      <c r="B139" s="28"/>
      <c r="C139" s="28"/>
      <c r="D139" s="28"/>
      <c r="E139" s="28"/>
      <c r="F139" s="28"/>
      <c r="G139" s="28"/>
      <c r="H139" s="29" t="str">
        <f aca="false">IFERROR(D139/C139,"")</f>
        <v/>
      </c>
      <c r="I139" s="29" t="str">
        <f aca="false">IFERROR(E139/C139,"")</f>
        <v/>
      </c>
    </row>
    <row r="140" customFormat="false" ht="15" hidden="false" customHeight="false" outlineLevel="0" collapsed="false">
      <c r="B140" s="28"/>
      <c r="C140" s="28"/>
      <c r="D140" s="28"/>
      <c r="E140" s="28"/>
      <c r="F140" s="28"/>
      <c r="G140" s="28"/>
      <c r="H140" s="29" t="str">
        <f aca="false">IFERROR(D140/C140,"")</f>
        <v/>
      </c>
      <c r="I140" s="29" t="str">
        <f aca="false">IFERROR(E140/C140,"")</f>
        <v/>
      </c>
    </row>
    <row r="141" customFormat="false" ht="15" hidden="false" customHeight="false" outlineLevel="0" collapsed="false">
      <c r="B141" s="28"/>
      <c r="C141" s="28"/>
      <c r="D141" s="28"/>
      <c r="E141" s="28"/>
      <c r="F141" s="28"/>
      <c r="G141" s="28"/>
      <c r="H141" s="29" t="str">
        <f aca="false">IFERROR(D141/C141,"")</f>
        <v/>
      </c>
      <c r="I141" s="29" t="str">
        <f aca="false">IFERROR(E141/C141,"")</f>
        <v/>
      </c>
    </row>
    <row r="142" customFormat="false" ht="15" hidden="false" customHeight="false" outlineLevel="0" collapsed="false">
      <c r="B142" s="28"/>
      <c r="C142" s="28"/>
      <c r="D142" s="28"/>
      <c r="E142" s="28"/>
      <c r="F142" s="28"/>
      <c r="G142" s="28"/>
      <c r="H142" s="29" t="str">
        <f aca="false">IFERROR(D142/C142,"")</f>
        <v/>
      </c>
      <c r="I142" s="29" t="str">
        <f aca="false">IFERROR(E142/C142,"")</f>
        <v/>
      </c>
    </row>
    <row r="143" customFormat="false" ht="15" hidden="false" customHeight="false" outlineLevel="0" collapsed="false">
      <c r="B143" s="28"/>
      <c r="C143" s="28"/>
      <c r="D143" s="28"/>
      <c r="E143" s="28"/>
      <c r="F143" s="28"/>
      <c r="G143" s="28"/>
      <c r="H143" s="29" t="str">
        <f aca="false">IFERROR(D143/C143,"")</f>
        <v/>
      </c>
      <c r="I143" s="29" t="str">
        <f aca="false">IFERROR(E143/C143,"")</f>
        <v/>
      </c>
    </row>
    <row r="144" customFormat="false" ht="15" hidden="false" customHeight="false" outlineLevel="0" collapsed="false">
      <c r="B144" s="28"/>
      <c r="C144" s="28"/>
      <c r="D144" s="28"/>
      <c r="E144" s="28"/>
      <c r="F144" s="28"/>
      <c r="G144" s="28"/>
      <c r="H144" s="29" t="str">
        <f aca="false">IFERROR(D144/C144,"")</f>
        <v/>
      </c>
      <c r="I144" s="29" t="str">
        <f aca="false">IFERROR(E144/C144,"")</f>
        <v/>
      </c>
    </row>
    <row r="145" customFormat="false" ht="15" hidden="false" customHeight="false" outlineLevel="0" collapsed="false">
      <c r="B145" s="28"/>
      <c r="C145" s="28"/>
      <c r="D145" s="28"/>
      <c r="E145" s="28"/>
      <c r="F145" s="28"/>
      <c r="G145" s="28"/>
      <c r="H145" s="29" t="str">
        <f aca="false">IFERROR(D145/C145,"")</f>
        <v/>
      </c>
      <c r="I145" s="29" t="str">
        <f aca="false">IFERROR(E145/C145,"")</f>
        <v/>
      </c>
    </row>
    <row r="146" customFormat="false" ht="15" hidden="false" customHeight="false" outlineLevel="0" collapsed="false">
      <c r="B146" s="28"/>
      <c r="C146" s="28"/>
      <c r="D146" s="28"/>
      <c r="E146" s="28"/>
      <c r="F146" s="28"/>
      <c r="G146" s="28"/>
      <c r="H146" s="29" t="str">
        <f aca="false">IFERROR(D146/C146,"")</f>
        <v/>
      </c>
      <c r="I146" s="29" t="str">
        <f aca="false">IFERROR(E146/C146,"")</f>
        <v/>
      </c>
    </row>
    <row r="147" customFormat="false" ht="15" hidden="false" customHeight="false" outlineLevel="0" collapsed="false">
      <c r="B147" s="28"/>
      <c r="C147" s="28"/>
      <c r="D147" s="28"/>
      <c r="E147" s="28"/>
      <c r="F147" s="28"/>
      <c r="G147" s="28"/>
      <c r="H147" s="29" t="str">
        <f aca="false">IFERROR(D147/C147,"")</f>
        <v/>
      </c>
      <c r="I147" s="29" t="str">
        <f aca="false">IFERROR(E147/C147,"")</f>
        <v/>
      </c>
    </row>
    <row r="148" customFormat="false" ht="15" hidden="false" customHeight="false" outlineLevel="0" collapsed="false">
      <c r="B148" s="28"/>
      <c r="C148" s="28"/>
      <c r="D148" s="28"/>
      <c r="E148" s="28"/>
      <c r="F148" s="28"/>
      <c r="G148" s="28"/>
      <c r="H148" s="29" t="str">
        <f aca="false">IFERROR(D148/C148,"")</f>
        <v/>
      </c>
      <c r="I148" s="29" t="str">
        <f aca="false">IFERROR(E148/C148,"")</f>
        <v/>
      </c>
    </row>
    <row r="149" customFormat="false" ht="15" hidden="false" customHeight="false" outlineLevel="0" collapsed="false">
      <c r="B149" s="28"/>
      <c r="C149" s="28"/>
      <c r="D149" s="28"/>
      <c r="E149" s="28"/>
      <c r="F149" s="28"/>
      <c r="G149" s="28"/>
      <c r="H149" s="29" t="str">
        <f aca="false">IFERROR(D149/C149,"")</f>
        <v/>
      </c>
      <c r="I149" s="29" t="str">
        <f aca="false">IFERROR(E149/C149,"")</f>
        <v/>
      </c>
    </row>
    <row r="150" customFormat="false" ht="15" hidden="false" customHeight="false" outlineLevel="0" collapsed="false">
      <c r="B150" s="28"/>
      <c r="C150" s="28"/>
      <c r="D150" s="28"/>
      <c r="E150" s="28"/>
      <c r="F150" s="28"/>
      <c r="G150" s="28"/>
      <c r="H150" s="29" t="str">
        <f aca="false">IFERROR(D150/C150,"")</f>
        <v/>
      </c>
      <c r="I150" s="29" t="str">
        <f aca="false">IFERROR(E150/C150,"")</f>
        <v/>
      </c>
    </row>
    <row r="151" customFormat="false" ht="15" hidden="false" customHeight="false" outlineLevel="0" collapsed="false">
      <c r="B151" s="28"/>
      <c r="C151" s="28"/>
      <c r="D151" s="28"/>
      <c r="E151" s="28"/>
      <c r="F151" s="28"/>
      <c r="G151" s="28"/>
      <c r="H151" s="29" t="str">
        <f aca="false">IFERROR(D151/C151,"")</f>
        <v/>
      </c>
      <c r="I151" s="29" t="str">
        <f aca="false">IFERROR(E151/C151,"")</f>
        <v/>
      </c>
    </row>
    <row r="152" customFormat="false" ht="15" hidden="false" customHeight="false" outlineLevel="0" collapsed="false">
      <c r="B152" s="28"/>
      <c r="C152" s="28"/>
      <c r="D152" s="28"/>
      <c r="E152" s="28"/>
      <c r="F152" s="28"/>
      <c r="G152" s="28"/>
      <c r="H152" s="29" t="str">
        <f aca="false">IFERROR(D152/C152,"")</f>
        <v/>
      </c>
      <c r="I152" s="29" t="str">
        <f aca="false">IFERROR(E152/C152,"")</f>
        <v/>
      </c>
    </row>
    <row r="153" customFormat="false" ht="15" hidden="false" customHeight="false" outlineLevel="0" collapsed="false">
      <c r="B153" s="28"/>
      <c r="C153" s="28"/>
      <c r="D153" s="28"/>
      <c r="E153" s="28"/>
      <c r="F153" s="28"/>
      <c r="G153" s="28"/>
      <c r="H153" s="29" t="str">
        <f aca="false">IFERROR(D153/C153,"")</f>
        <v/>
      </c>
      <c r="I153" s="29" t="str">
        <f aca="false">IFERROR(E153/C153,"")</f>
        <v/>
      </c>
    </row>
    <row r="154" customFormat="false" ht="15" hidden="false" customHeight="false" outlineLevel="0" collapsed="false">
      <c r="B154" s="28"/>
      <c r="C154" s="28"/>
      <c r="D154" s="28"/>
      <c r="E154" s="28"/>
      <c r="F154" s="28"/>
      <c r="G154" s="28"/>
      <c r="H154" s="29" t="str">
        <f aca="false">IFERROR(D154/C154,"")</f>
        <v/>
      </c>
      <c r="I154" s="29" t="str">
        <f aca="false">IFERROR(E154/C154,"")</f>
        <v/>
      </c>
    </row>
    <row r="155" customFormat="false" ht="15" hidden="false" customHeight="false" outlineLevel="0" collapsed="false">
      <c r="B155" s="28"/>
      <c r="C155" s="28"/>
      <c r="D155" s="28"/>
      <c r="E155" s="28"/>
      <c r="F155" s="28"/>
      <c r="G155" s="28"/>
      <c r="H155" s="29" t="str">
        <f aca="false">IFERROR(D155/C155,"")</f>
        <v/>
      </c>
      <c r="I155" s="29" t="str">
        <f aca="false">IFERROR(E155/C155,"")</f>
        <v/>
      </c>
    </row>
    <row r="156" customFormat="false" ht="15" hidden="false" customHeight="false" outlineLevel="0" collapsed="false">
      <c r="B156" s="28"/>
      <c r="C156" s="28"/>
      <c r="D156" s="28"/>
      <c r="E156" s="28"/>
      <c r="F156" s="28"/>
      <c r="G156" s="28"/>
      <c r="H156" s="29" t="str">
        <f aca="false">IFERROR(D156/C156,"")</f>
        <v/>
      </c>
      <c r="I156" s="29" t="str">
        <f aca="false">IFERROR(E156/C156,"")</f>
        <v/>
      </c>
    </row>
    <row r="157" customFormat="false" ht="15" hidden="false" customHeight="false" outlineLevel="0" collapsed="false">
      <c r="B157" s="28"/>
      <c r="C157" s="28"/>
      <c r="D157" s="28"/>
      <c r="E157" s="28"/>
      <c r="F157" s="28"/>
      <c r="G157" s="28"/>
      <c r="H157" s="29" t="str">
        <f aca="false">IFERROR(D157/C157,"")</f>
        <v/>
      </c>
      <c r="I157" s="29" t="str">
        <f aca="false">IFERROR(E157/C157,"")</f>
        <v/>
      </c>
    </row>
    <row r="158" customFormat="false" ht="15" hidden="false" customHeight="false" outlineLevel="0" collapsed="false">
      <c r="B158" s="28"/>
      <c r="C158" s="28"/>
      <c r="D158" s="28"/>
      <c r="E158" s="28"/>
      <c r="F158" s="28"/>
      <c r="G158" s="28"/>
      <c r="H158" s="29" t="str">
        <f aca="false">IFERROR(D158/C158,"")</f>
        <v/>
      </c>
      <c r="I158" s="29" t="str">
        <f aca="false">IFERROR(E158/C158,"")</f>
        <v/>
      </c>
    </row>
    <row r="159" customFormat="false" ht="15" hidden="false" customHeight="false" outlineLevel="0" collapsed="false">
      <c r="B159" s="28"/>
      <c r="C159" s="28"/>
      <c r="D159" s="28"/>
      <c r="E159" s="28"/>
      <c r="F159" s="28"/>
      <c r="G159" s="28"/>
      <c r="H159" s="29" t="str">
        <f aca="false">IFERROR(D159/C159,"")</f>
        <v/>
      </c>
      <c r="I159" s="29" t="str">
        <f aca="false">IFERROR(E159/C159,"")</f>
        <v/>
      </c>
    </row>
    <row r="160" customFormat="false" ht="15" hidden="false" customHeight="false" outlineLevel="0" collapsed="false">
      <c r="B160" s="28"/>
      <c r="C160" s="28"/>
      <c r="D160" s="28"/>
      <c r="E160" s="28"/>
      <c r="F160" s="28"/>
      <c r="G160" s="28"/>
      <c r="H160" s="29" t="str">
        <f aca="false">IFERROR(D160/C160,"")</f>
        <v/>
      </c>
      <c r="I160" s="29" t="str">
        <f aca="false">IFERROR(E160/C160,"")</f>
        <v/>
      </c>
    </row>
    <row r="161" customFormat="false" ht="15" hidden="false" customHeight="false" outlineLevel="0" collapsed="false">
      <c r="B161" s="28"/>
      <c r="C161" s="28"/>
      <c r="D161" s="28"/>
      <c r="E161" s="28"/>
      <c r="F161" s="28"/>
      <c r="G161" s="28"/>
      <c r="H161" s="29" t="str">
        <f aca="false">IFERROR(D161/C161,"")</f>
        <v/>
      </c>
      <c r="I161" s="29" t="str">
        <f aca="false">IFERROR(E161/C161,"")</f>
        <v/>
      </c>
    </row>
    <row r="162" customFormat="false" ht="15" hidden="false" customHeight="false" outlineLevel="0" collapsed="false">
      <c r="B162" s="28"/>
      <c r="C162" s="28"/>
      <c r="D162" s="28"/>
      <c r="E162" s="28"/>
      <c r="F162" s="28"/>
      <c r="G162" s="28"/>
      <c r="H162" s="29" t="str">
        <f aca="false">IFERROR(D162/C162,"")</f>
        <v/>
      </c>
      <c r="I162" s="29" t="str">
        <f aca="false">IFERROR(E162/C162,"")</f>
        <v/>
      </c>
    </row>
    <row r="163" customFormat="false" ht="15" hidden="false" customHeight="false" outlineLevel="0" collapsed="false">
      <c r="B163" s="28"/>
      <c r="C163" s="28"/>
      <c r="D163" s="28"/>
      <c r="E163" s="28"/>
      <c r="F163" s="28"/>
      <c r="G163" s="28"/>
      <c r="H163" s="29" t="str">
        <f aca="false">IFERROR(D163/C163,"")</f>
        <v/>
      </c>
      <c r="I163" s="29" t="str">
        <f aca="false">IFERROR(E163/C163,"")</f>
        <v/>
      </c>
    </row>
    <row r="164" customFormat="false" ht="15" hidden="false" customHeight="false" outlineLevel="0" collapsed="false">
      <c r="B164" s="28"/>
      <c r="C164" s="28"/>
      <c r="D164" s="28"/>
      <c r="E164" s="28"/>
      <c r="F164" s="28"/>
      <c r="G164" s="28"/>
      <c r="H164" s="29" t="str">
        <f aca="false">IFERROR(D164/C164,"")</f>
        <v/>
      </c>
      <c r="I164" s="29" t="str">
        <f aca="false">IFERROR(E164/C164,"")</f>
        <v/>
      </c>
    </row>
    <row r="165" customFormat="false" ht="15" hidden="false" customHeight="false" outlineLevel="0" collapsed="false">
      <c r="B165" s="28"/>
      <c r="C165" s="28"/>
      <c r="D165" s="28"/>
      <c r="E165" s="28"/>
      <c r="F165" s="28"/>
      <c r="G165" s="28"/>
      <c r="H165" s="29" t="str">
        <f aca="false">IFERROR(D165/C165,"")</f>
        <v/>
      </c>
      <c r="I165" s="29" t="str">
        <f aca="false">IFERROR(E165/C165,"")</f>
        <v/>
      </c>
    </row>
    <row r="166" customFormat="false" ht="15" hidden="false" customHeight="false" outlineLevel="0" collapsed="false">
      <c r="B166" s="28"/>
      <c r="C166" s="28"/>
      <c r="D166" s="28"/>
      <c r="E166" s="28"/>
      <c r="F166" s="28"/>
      <c r="G166" s="28"/>
      <c r="H166" s="29" t="str">
        <f aca="false">IFERROR(D166/C166,"")</f>
        <v/>
      </c>
      <c r="I166" s="29" t="str">
        <f aca="false">IFERROR(E166/C166,"")</f>
        <v/>
      </c>
    </row>
    <row r="167" customFormat="false" ht="15" hidden="false" customHeight="false" outlineLevel="0" collapsed="false">
      <c r="B167" s="28"/>
      <c r="C167" s="28"/>
      <c r="D167" s="28"/>
      <c r="E167" s="28"/>
      <c r="F167" s="28"/>
      <c r="G167" s="28"/>
      <c r="H167" s="29" t="str">
        <f aca="false">IFERROR(D167/C167,"")</f>
        <v/>
      </c>
      <c r="I167" s="29" t="str">
        <f aca="false">IFERROR(E167/C167,"")</f>
        <v/>
      </c>
    </row>
    <row r="168" customFormat="false" ht="15" hidden="false" customHeight="false" outlineLevel="0" collapsed="false">
      <c r="B168" s="28"/>
      <c r="C168" s="28"/>
      <c r="D168" s="28"/>
      <c r="E168" s="28"/>
      <c r="F168" s="28"/>
      <c r="G168" s="28"/>
      <c r="H168" s="29" t="str">
        <f aca="false">IFERROR(D168/C168,"")</f>
        <v/>
      </c>
      <c r="I168" s="29" t="str">
        <f aca="false">IFERROR(E168/C168,"")</f>
        <v/>
      </c>
    </row>
    <row r="169" customFormat="false" ht="15" hidden="false" customHeight="false" outlineLevel="0" collapsed="false">
      <c r="B169" s="28"/>
      <c r="C169" s="28"/>
      <c r="D169" s="28"/>
      <c r="E169" s="28"/>
      <c r="F169" s="28"/>
      <c r="G169" s="28"/>
      <c r="H169" s="29" t="str">
        <f aca="false">IFERROR(D169/C169,"")</f>
        <v/>
      </c>
      <c r="I169" s="29" t="str">
        <f aca="false">IFERROR(E169/C169,"")</f>
        <v/>
      </c>
    </row>
    <row r="170" customFormat="false" ht="15" hidden="false" customHeight="false" outlineLevel="0" collapsed="false">
      <c r="B170" s="28"/>
      <c r="C170" s="28"/>
      <c r="D170" s="28"/>
      <c r="E170" s="28"/>
      <c r="F170" s="28"/>
      <c r="G170" s="28"/>
      <c r="H170" s="29" t="str">
        <f aca="false">IFERROR(D170/C170,"")</f>
        <v/>
      </c>
      <c r="I170" s="29" t="str">
        <f aca="false">IFERROR(E170/C170,"")</f>
        <v/>
      </c>
    </row>
    <row r="171" customFormat="false" ht="15" hidden="false" customHeight="false" outlineLevel="0" collapsed="false">
      <c r="B171" s="28"/>
      <c r="C171" s="28"/>
      <c r="D171" s="28"/>
      <c r="E171" s="28"/>
      <c r="F171" s="28"/>
      <c r="G171" s="28"/>
      <c r="H171" s="29" t="str">
        <f aca="false">IFERROR(D171/C171,"")</f>
        <v/>
      </c>
      <c r="I171" s="29" t="str">
        <f aca="false">IFERROR(E171/C171,"")</f>
        <v/>
      </c>
    </row>
    <row r="172" customFormat="false" ht="15" hidden="false" customHeight="false" outlineLevel="0" collapsed="false">
      <c r="B172" s="28"/>
      <c r="C172" s="28"/>
      <c r="D172" s="28"/>
      <c r="E172" s="28"/>
      <c r="F172" s="28"/>
      <c r="G172" s="28"/>
      <c r="H172" s="29" t="str">
        <f aca="false">IFERROR(D172/C172,"")</f>
        <v/>
      </c>
      <c r="I172" s="29" t="str">
        <f aca="false">IFERROR(E172/C172,"")</f>
        <v/>
      </c>
    </row>
    <row r="173" customFormat="false" ht="15" hidden="false" customHeight="false" outlineLevel="0" collapsed="false">
      <c r="B173" s="28"/>
      <c r="C173" s="28"/>
      <c r="D173" s="28"/>
      <c r="E173" s="28"/>
      <c r="F173" s="28"/>
      <c r="G173" s="28"/>
      <c r="H173" s="29" t="str">
        <f aca="false">IFERROR(D173/C173,"")</f>
        <v/>
      </c>
      <c r="I173" s="29" t="str">
        <f aca="false">IFERROR(E173/C173,"")</f>
        <v/>
      </c>
    </row>
    <row r="174" customFormat="false" ht="15" hidden="false" customHeight="false" outlineLevel="0" collapsed="false">
      <c r="B174" s="28"/>
      <c r="C174" s="28"/>
      <c r="D174" s="28"/>
      <c r="E174" s="28"/>
      <c r="F174" s="28"/>
      <c r="G174" s="28"/>
      <c r="H174" s="29" t="str">
        <f aca="false">IFERROR(D174/C174,"")</f>
        <v/>
      </c>
      <c r="I174" s="29" t="str">
        <f aca="false">IFERROR(E174/C174,"")</f>
        <v/>
      </c>
    </row>
    <row r="175" customFormat="false" ht="15" hidden="false" customHeight="false" outlineLevel="0" collapsed="false">
      <c r="B175" s="28"/>
      <c r="C175" s="28"/>
      <c r="D175" s="28"/>
      <c r="E175" s="28"/>
      <c r="F175" s="28"/>
      <c r="G175" s="28"/>
      <c r="H175" s="29" t="str">
        <f aca="false">IFERROR(D175/C175,"")</f>
        <v/>
      </c>
      <c r="I175" s="29" t="str">
        <f aca="false">IFERROR(E175/C175,"")</f>
        <v/>
      </c>
    </row>
    <row r="176" customFormat="false" ht="15" hidden="false" customHeight="false" outlineLevel="0" collapsed="false">
      <c r="B176" s="28"/>
      <c r="C176" s="28"/>
      <c r="D176" s="28"/>
      <c r="E176" s="28"/>
      <c r="F176" s="28"/>
      <c r="G176" s="28"/>
      <c r="H176" s="29" t="str">
        <f aca="false">IFERROR(D176/C176,"")</f>
        <v/>
      </c>
      <c r="I176" s="29" t="str">
        <f aca="false">IFERROR(E176/C176,"")</f>
        <v/>
      </c>
    </row>
    <row r="177" customFormat="false" ht="15" hidden="false" customHeight="false" outlineLevel="0" collapsed="false">
      <c r="B177" s="28"/>
      <c r="C177" s="28"/>
      <c r="D177" s="28"/>
      <c r="E177" s="28"/>
      <c r="F177" s="28"/>
      <c r="G177" s="28"/>
      <c r="H177" s="29" t="str">
        <f aca="false">IFERROR(D177/C177,"")</f>
        <v/>
      </c>
      <c r="I177" s="29" t="str">
        <f aca="false">IFERROR(E177/C177,"")</f>
        <v/>
      </c>
    </row>
    <row r="178" customFormat="false" ht="15" hidden="false" customHeight="false" outlineLevel="0" collapsed="false">
      <c r="B178" s="28"/>
      <c r="C178" s="28"/>
      <c r="D178" s="28"/>
      <c r="E178" s="28"/>
      <c r="F178" s="28"/>
      <c r="G178" s="28"/>
      <c r="H178" s="29" t="str">
        <f aca="false">IFERROR(D178/C178,"")</f>
        <v/>
      </c>
      <c r="I178" s="29" t="str">
        <f aca="false">IFERROR(E178/C178,"")</f>
        <v/>
      </c>
    </row>
    <row r="179" customFormat="false" ht="15" hidden="false" customHeight="false" outlineLevel="0" collapsed="false">
      <c r="B179" s="28"/>
      <c r="C179" s="28"/>
      <c r="D179" s="28"/>
      <c r="E179" s="28"/>
      <c r="F179" s="28"/>
      <c r="G179" s="28"/>
      <c r="H179" s="29" t="str">
        <f aca="false">IFERROR(D179/C179,"")</f>
        <v/>
      </c>
      <c r="I179" s="29" t="str">
        <f aca="false">IFERROR(E179/C179,"")</f>
        <v/>
      </c>
    </row>
    <row r="180" customFormat="false" ht="15" hidden="false" customHeight="false" outlineLevel="0" collapsed="false">
      <c r="B180" s="28"/>
      <c r="C180" s="28"/>
      <c r="D180" s="28"/>
      <c r="E180" s="28"/>
      <c r="F180" s="28"/>
      <c r="G180" s="28"/>
      <c r="H180" s="29" t="str">
        <f aca="false">IFERROR(D180/C180,"")</f>
        <v/>
      </c>
      <c r="I180" s="29" t="str">
        <f aca="false">IFERROR(E180/C180,"")</f>
        <v/>
      </c>
    </row>
    <row r="181" customFormat="false" ht="15" hidden="false" customHeight="false" outlineLevel="0" collapsed="false">
      <c r="B181" s="28"/>
      <c r="C181" s="28"/>
      <c r="D181" s="28"/>
      <c r="E181" s="28"/>
      <c r="F181" s="28"/>
      <c r="G181" s="28"/>
      <c r="H181" s="29" t="str">
        <f aca="false">IFERROR(D181/C181,"")</f>
        <v/>
      </c>
      <c r="I181" s="29" t="str">
        <f aca="false">IFERROR(E181/C181,"")</f>
        <v/>
      </c>
    </row>
    <row r="182" customFormat="false" ht="15" hidden="false" customHeight="false" outlineLevel="0" collapsed="false">
      <c r="B182" s="28"/>
      <c r="C182" s="28"/>
      <c r="D182" s="28"/>
      <c r="E182" s="28"/>
      <c r="F182" s="28"/>
      <c r="G182" s="28"/>
      <c r="H182" s="29" t="str">
        <f aca="false">IFERROR(D182/C182,"")</f>
        <v/>
      </c>
      <c r="I182" s="29" t="str">
        <f aca="false">IFERROR(E182/C182,"")</f>
        <v/>
      </c>
    </row>
    <row r="183" customFormat="false" ht="15" hidden="false" customHeight="false" outlineLevel="0" collapsed="false">
      <c r="B183" s="28"/>
      <c r="C183" s="28"/>
      <c r="D183" s="28"/>
      <c r="E183" s="28"/>
      <c r="F183" s="28"/>
      <c r="G183" s="28"/>
      <c r="H183" s="29" t="str">
        <f aca="false">IFERROR(D183/C183,"")</f>
        <v/>
      </c>
      <c r="I183" s="29" t="str">
        <f aca="false">IFERROR(E183/C183,"")</f>
        <v/>
      </c>
    </row>
    <row r="184" customFormat="false" ht="15" hidden="false" customHeight="false" outlineLevel="0" collapsed="false">
      <c r="B184" s="28"/>
      <c r="C184" s="28"/>
      <c r="D184" s="28"/>
      <c r="E184" s="28"/>
      <c r="F184" s="28"/>
      <c r="G184" s="28"/>
      <c r="H184" s="29" t="str">
        <f aca="false">IFERROR(D184/C184,"")</f>
        <v/>
      </c>
      <c r="I184" s="29" t="str">
        <f aca="false">IFERROR(E184/C184,"")</f>
        <v/>
      </c>
    </row>
    <row r="185" customFormat="false" ht="15" hidden="false" customHeight="false" outlineLevel="0" collapsed="false">
      <c r="B185" s="28"/>
      <c r="C185" s="28"/>
      <c r="D185" s="28"/>
      <c r="E185" s="28"/>
      <c r="F185" s="28"/>
      <c r="G185" s="28"/>
      <c r="H185" s="29" t="str">
        <f aca="false">IFERROR(D185/C185,"")</f>
        <v/>
      </c>
      <c r="I185" s="29" t="str">
        <f aca="false">IFERROR(E185/C185,"")</f>
        <v/>
      </c>
    </row>
    <row r="186" customFormat="false" ht="15" hidden="false" customHeight="false" outlineLevel="0" collapsed="false">
      <c r="B186" s="28"/>
      <c r="C186" s="28"/>
      <c r="D186" s="28"/>
      <c r="E186" s="28"/>
      <c r="F186" s="28"/>
      <c r="G186" s="28"/>
      <c r="H186" s="29" t="str">
        <f aca="false">IFERROR(D186/C186,"")</f>
        <v/>
      </c>
      <c r="I186" s="29" t="str">
        <f aca="false">IFERROR(E186/C186,"")</f>
        <v/>
      </c>
    </row>
    <row r="187" customFormat="false" ht="15" hidden="false" customHeight="false" outlineLevel="0" collapsed="false">
      <c r="B187" s="28"/>
      <c r="C187" s="28"/>
      <c r="D187" s="28"/>
      <c r="E187" s="28"/>
      <c r="F187" s="28"/>
      <c r="G187" s="28"/>
      <c r="H187" s="29" t="str">
        <f aca="false">IFERROR(D187/C187,"")</f>
        <v/>
      </c>
      <c r="I187" s="29" t="str">
        <f aca="false">IFERROR(E187/C187,"")</f>
        <v/>
      </c>
    </row>
    <row r="188" customFormat="false" ht="15" hidden="false" customHeight="false" outlineLevel="0" collapsed="false">
      <c r="B188" s="28"/>
      <c r="C188" s="28"/>
      <c r="D188" s="28"/>
      <c r="E188" s="28"/>
      <c r="F188" s="28"/>
      <c r="G188" s="28"/>
      <c r="H188" s="29" t="str">
        <f aca="false">IFERROR(D188/C188,"")</f>
        <v/>
      </c>
      <c r="I188" s="29" t="str">
        <f aca="false">IFERROR(E188/C188,"")</f>
        <v/>
      </c>
    </row>
    <row r="189" customFormat="false" ht="15" hidden="false" customHeight="false" outlineLevel="0" collapsed="false">
      <c r="B189" s="28"/>
      <c r="C189" s="28"/>
      <c r="D189" s="28"/>
      <c r="E189" s="28"/>
      <c r="F189" s="28"/>
      <c r="G189" s="28"/>
      <c r="H189" s="29" t="str">
        <f aca="false">IFERROR(D189/C189,"")</f>
        <v/>
      </c>
      <c r="I189" s="29" t="str">
        <f aca="false">IFERROR(E189/C189,"")</f>
        <v/>
      </c>
    </row>
    <row r="190" customFormat="false" ht="15" hidden="false" customHeight="false" outlineLevel="0" collapsed="false">
      <c r="B190" s="28"/>
      <c r="C190" s="28"/>
      <c r="D190" s="28"/>
      <c r="E190" s="28"/>
      <c r="F190" s="28"/>
      <c r="G190" s="28"/>
      <c r="H190" s="29" t="str">
        <f aca="false">IFERROR(D190/C190,"")</f>
        <v/>
      </c>
      <c r="I190" s="29" t="str">
        <f aca="false">IFERROR(E190/C190,"")</f>
        <v/>
      </c>
    </row>
    <row r="191" customFormat="false" ht="15" hidden="false" customHeight="false" outlineLevel="0" collapsed="false">
      <c r="B191" s="28"/>
      <c r="C191" s="28"/>
      <c r="D191" s="28"/>
      <c r="E191" s="28"/>
      <c r="F191" s="28"/>
      <c r="G191" s="28"/>
      <c r="H191" s="29" t="str">
        <f aca="false">IFERROR(D191/C191,"")</f>
        <v/>
      </c>
      <c r="I191" s="29" t="str">
        <f aca="false">IFERROR(E191/C191,"")</f>
        <v/>
      </c>
    </row>
    <row r="192" customFormat="false" ht="15" hidden="false" customHeight="false" outlineLevel="0" collapsed="false">
      <c r="B192" s="28"/>
      <c r="C192" s="28"/>
      <c r="D192" s="28"/>
      <c r="E192" s="28"/>
      <c r="F192" s="28"/>
      <c r="G192" s="28"/>
      <c r="H192" s="29" t="str">
        <f aca="false">IFERROR(D192/C192,"")</f>
        <v/>
      </c>
      <c r="I192" s="29" t="str">
        <f aca="false">IFERROR(E192/C192,"")</f>
        <v/>
      </c>
    </row>
    <row r="193" customFormat="false" ht="15" hidden="false" customHeight="false" outlineLevel="0" collapsed="false">
      <c r="B193" s="28"/>
      <c r="C193" s="28"/>
      <c r="D193" s="28"/>
      <c r="E193" s="28"/>
      <c r="F193" s="28"/>
      <c r="G193" s="28"/>
      <c r="H193" s="29" t="str">
        <f aca="false">IFERROR(D193/C193,"")</f>
        <v/>
      </c>
      <c r="I193" s="29" t="str">
        <f aca="false">IFERROR(E193/C193,"")</f>
        <v/>
      </c>
    </row>
    <row r="194" customFormat="false" ht="15" hidden="false" customHeight="false" outlineLevel="0" collapsed="false">
      <c r="B194" s="28"/>
      <c r="C194" s="28"/>
      <c r="D194" s="28"/>
      <c r="E194" s="28"/>
      <c r="F194" s="28"/>
      <c r="G194" s="28"/>
      <c r="H194" s="29" t="str">
        <f aca="false">IFERROR(D194/C194,"")</f>
        <v/>
      </c>
      <c r="I194" s="29" t="str">
        <f aca="false">IFERROR(E194/C194,"")</f>
        <v/>
      </c>
    </row>
    <row r="195" customFormat="false" ht="15" hidden="false" customHeight="false" outlineLevel="0" collapsed="false">
      <c r="B195" s="28"/>
      <c r="C195" s="28"/>
      <c r="D195" s="28"/>
      <c r="E195" s="28"/>
      <c r="F195" s="28"/>
      <c r="G195" s="28"/>
      <c r="H195" s="29" t="str">
        <f aca="false">IFERROR(D195/C195,"")</f>
        <v/>
      </c>
      <c r="I195" s="29" t="str">
        <f aca="false">IFERROR(E195/C195,"")</f>
        <v/>
      </c>
    </row>
    <row r="196" customFormat="false" ht="15" hidden="false" customHeight="false" outlineLevel="0" collapsed="false">
      <c r="B196" s="28"/>
      <c r="C196" s="28"/>
      <c r="D196" s="28"/>
      <c r="E196" s="28"/>
      <c r="F196" s="28"/>
      <c r="G196" s="28"/>
      <c r="H196" s="29" t="str">
        <f aca="false">IFERROR(D196/C196,"")</f>
        <v/>
      </c>
      <c r="I196" s="29" t="str">
        <f aca="false">IFERROR(E196/C196,"")</f>
        <v/>
      </c>
    </row>
    <row r="197" customFormat="false" ht="15" hidden="false" customHeight="false" outlineLevel="0" collapsed="false">
      <c r="B197" s="28"/>
      <c r="C197" s="28"/>
      <c r="D197" s="28"/>
      <c r="E197" s="28"/>
      <c r="F197" s="28"/>
      <c r="G197" s="28"/>
      <c r="H197" s="29" t="str">
        <f aca="false">IFERROR(D197/C197,"")</f>
        <v/>
      </c>
      <c r="I197" s="29" t="str">
        <f aca="false">IFERROR(E197/C197,"")</f>
        <v/>
      </c>
    </row>
    <row r="198" customFormat="false" ht="15" hidden="false" customHeight="false" outlineLevel="0" collapsed="false">
      <c r="B198" s="28"/>
      <c r="C198" s="28"/>
      <c r="D198" s="28"/>
      <c r="E198" s="28"/>
      <c r="F198" s="28"/>
      <c r="G198" s="28"/>
      <c r="H198" s="29" t="str">
        <f aca="false">IFERROR(D198/C198,"")</f>
        <v/>
      </c>
      <c r="I198" s="29" t="str">
        <f aca="false">IFERROR(E198/C198,"")</f>
        <v/>
      </c>
    </row>
    <row r="199" customFormat="false" ht="15" hidden="false" customHeight="false" outlineLevel="0" collapsed="false">
      <c r="B199" s="28"/>
      <c r="C199" s="28"/>
      <c r="D199" s="28"/>
      <c r="E199" s="28"/>
      <c r="F199" s="28"/>
      <c r="G199" s="28"/>
      <c r="H199" s="29" t="str">
        <f aca="false">IFERROR(D199/C199,"")</f>
        <v/>
      </c>
      <c r="I199" s="29" t="str">
        <f aca="false">IFERROR(E199/C199,"")</f>
        <v/>
      </c>
    </row>
    <row r="200" customFormat="false" ht="15" hidden="false" customHeight="false" outlineLevel="0" collapsed="false">
      <c r="B200" s="28"/>
      <c r="C200" s="28"/>
      <c r="D200" s="28"/>
      <c r="E200" s="28"/>
      <c r="F200" s="28"/>
      <c r="G200" s="28"/>
      <c r="H200" s="29" t="str">
        <f aca="false">IFERROR(D200/C200,"")</f>
        <v/>
      </c>
      <c r="I200" s="29" t="str">
        <f aca="false">IFERROR(E200/C200,"")</f>
        <v/>
      </c>
    </row>
    <row r="201" customFormat="false" ht="15" hidden="false" customHeight="false" outlineLevel="0" collapsed="false">
      <c r="B201" s="28"/>
      <c r="C201" s="28"/>
      <c r="D201" s="28"/>
      <c r="E201" s="28"/>
      <c r="F201" s="28"/>
      <c r="G201" s="28"/>
      <c r="H201" s="29" t="str">
        <f aca="false">IFERROR(D201/C201,"")</f>
        <v/>
      </c>
      <c r="I201" s="29" t="str">
        <f aca="false">IFERROR(E201/C201,"")</f>
        <v/>
      </c>
    </row>
    <row r="202" customFormat="false" ht="15" hidden="false" customHeight="false" outlineLevel="0" collapsed="false">
      <c r="B202" s="28"/>
      <c r="C202" s="28"/>
      <c r="D202" s="28"/>
      <c r="E202" s="28"/>
      <c r="F202" s="28"/>
      <c r="G202" s="28"/>
      <c r="H202" s="29" t="str">
        <f aca="false">IFERROR(D202/C202,"")</f>
        <v/>
      </c>
      <c r="I202" s="29" t="str">
        <f aca="false">IFERROR(E202/C202,"")</f>
        <v/>
      </c>
    </row>
    <row r="203" customFormat="false" ht="15" hidden="false" customHeight="false" outlineLevel="0" collapsed="false">
      <c r="B203" s="28"/>
      <c r="C203" s="28"/>
      <c r="D203" s="28"/>
      <c r="E203" s="28"/>
      <c r="F203" s="28"/>
      <c r="G203" s="28"/>
      <c r="H203" s="29" t="str">
        <f aca="false">IFERROR(D203/C203,"")</f>
        <v/>
      </c>
      <c r="I203" s="29" t="str">
        <f aca="false">IFERROR(E203/C203,"")</f>
        <v/>
      </c>
    </row>
    <row r="204" customFormat="false" ht="15" hidden="false" customHeight="false" outlineLevel="0" collapsed="false">
      <c r="B204" s="28"/>
      <c r="C204" s="28"/>
      <c r="D204" s="28"/>
      <c r="E204" s="28"/>
      <c r="F204" s="28"/>
      <c r="G204" s="28"/>
      <c r="H204" s="29" t="str">
        <f aca="false">IFERROR(D204/C204,"")</f>
        <v/>
      </c>
      <c r="I204" s="29" t="str">
        <f aca="false">IFERROR(E204/C204,"")</f>
        <v/>
      </c>
    </row>
    <row r="205" customFormat="false" ht="15" hidden="false" customHeight="false" outlineLevel="0" collapsed="false">
      <c r="B205" s="28"/>
      <c r="C205" s="28"/>
      <c r="D205" s="28"/>
      <c r="E205" s="28"/>
      <c r="F205" s="28"/>
      <c r="G205" s="28"/>
      <c r="H205" s="29" t="str">
        <f aca="false">IFERROR(D205/C205,"")</f>
        <v/>
      </c>
      <c r="I205" s="29" t="str">
        <f aca="false">IFERROR(E205/C205,"")</f>
        <v/>
      </c>
    </row>
    <row r="207" customFormat="false" ht="15" hidden="false" customHeight="false" outlineLevel="0" collapsed="false">
      <c r="B207" s="3" t="s">
        <v>99</v>
      </c>
      <c r="C207" s="16" t="n">
        <f aca="false">SUM(C6:C205)</f>
        <v>25</v>
      </c>
      <c r="D207" s="16" t="n">
        <f aca="false">SUM(D6:D205)</f>
        <v>0</v>
      </c>
      <c r="E207" s="16" t="n">
        <f aca="false">SUM(E6:E205)</f>
        <v>1</v>
      </c>
      <c r="F207" s="16" t="n">
        <f aca="false">SUM(F6:F205)</f>
        <v>1</v>
      </c>
      <c r="G207" s="16" t="n">
        <f aca="false">SUM(G6:G205)</f>
        <v>0</v>
      </c>
      <c r="H207" s="30" t="n">
        <f aca="false">IFERROR(D207/C207,"")</f>
        <v>0</v>
      </c>
      <c r="I207" s="30" t="n">
        <f aca="false">IFERROR(E207/C207,"")</f>
        <v>0.04</v>
      </c>
    </row>
    <row r="209" customFormat="false" ht="15" hidden="false" customHeight="false" outlineLevel="0" collapsed="false">
      <c r="B209" s="31" t="s">
        <v>192</v>
      </c>
    </row>
    <row r="210" customFormat="false" ht="15" hidden="false" customHeight="false" outlineLevel="0" collapsed="false">
      <c r="B210" s="9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2026-08-18T12:23:14Z</dcterms:created>
  <dc:creator>openpyxl</dc:creator>
  <dc:description/>
  <dc:language>en-US</dc:language>
  <cp:lastModifiedBy/>
  <dcterms:modified xsi:type="dcterms:W3CDTF">2026-08-18T12:24:14Z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